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3256" windowHeight="13176" firstSheet="2" activeTab="3"/>
  </bookViews>
  <sheets>
    <sheet name="DTR2021_26days" sheetId="1" r:id="rId1"/>
    <sheet name="DTR2021_30days" sheetId="2" r:id="rId2"/>
    <sheet name="DATE" sheetId="22" r:id="rId3"/>
    <sheet name="Freedom" sheetId="19" r:id="rId4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" roundtripDataSignature="AMtx7mhmvDtIhXGoIca+ueDREujaOA6yjw=="/>
    </ext>
  </extLst>
</workbook>
</file>

<file path=xl/calcChain.xml><?xml version="1.0" encoding="utf-8"?>
<calcChain xmlns="http://schemas.openxmlformats.org/spreadsheetml/2006/main">
  <c r="Y38" i="19" l="1"/>
  <c r="AA31" i="19"/>
  <c r="Z31" i="19"/>
  <c r="N31" i="19"/>
  <c r="O31" i="19" s="1"/>
  <c r="L31" i="19"/>
  <c r="V31" i="19" s="1"/>
  <c r="K31" i="19"/>
  <c r="U31" i="19" s="1"/>
  <c r="J31" i="19"/>
  <c r="G31" i="19"/>
  <c r="M31" i="19" s="1"/>
  <c r="W31" i="19" s="1"/>
  <c r="Z28" i="19"/>
  <c r="AA28" i="19" s="1"/>
  <c r="L28" i="19"/>
  <c r="V28" i="19" s="1"/>
  <c r="K28" i="19"/>
  <c r="U28" i="19" s="1"/>
  <c r="J28" i="19"/>
  <c r="G28" i="19"/>
  <c r="N28" i="19" s="1"/>
  <c r="O28" i="19" s="1"/>
  <c r="M28" i="19" l="1"/>
  <c r="W28" i="19" s="1"/>
  <c r="A2" i="19"/>
  <c r="X38" i="22"/>
  <c r="Z37" i="22"/>
  <c r="AA37" i="22" s="1"/>
  <c r="U37" i="22"/>
  <c r="N37" i="22"/>
  <c r="O37" i="22" s="1"/>
  <c r="M37" i="22"/>
  <c r="W37" i="22" s="1"/>
  <c r="L37" i="22"/>
  <c r="V37" i="22" s="1"/>
  <c r="K37" i="22"/>
  <c r="J37" i="22"/>
  <c r="G37" i="22"/>
  <c r="Z36" i="22"/>
  <c r="AA36" i="22" s="1"/>
  <c r="L36" i="22"/>
  <c r="V36" i="22" s="1"/>
  <c r="K36" i="22"/>
  <c r="U36" i="22" s="1"/>
  <c r="J36" i="22"/>
  <c r="G36" i="22"/>
  <c r="M36" i="22" s="1"/>
  <c r="W36" i="22" s="1"/>
  <c r="AA35" i="22"/>
  <c r="Z35" i="22"/>
  <c r="L35" i="22"/>
  <c r="V35" i="22" s="1"/>
  <c r="K35" i="22"/>
  <c r="U35" i="22" s="1"/>
  <c r="J35" i="22"/>
  <c r="G35" i="22"/>
  <c r="N35" i="22" s="1"/>
  <c r="O35" i="22" s="1"/>
  <c r="Z34" i="22"/>
  <c r="AA34" i="22" s="1"/>
  <c r="L34" i="22"/>
  <c r="V34" i="22" s="1"/>
  <c r="K34" i="22"/>
  <c r="U34" i="22" s="1"/>
  <c r="J34" i="22"/>
  <c r="G34" i="22"/>
  <c r="N34" i="22" s="1"/>
  <c r="O34" i="22" s="1"/>
  <c r="AA33" i="22"/>
  <c r="Z33" i="22"/>
  <c r="L33" i="22"/>
  <c r="V33" i="22" s="1"/>
  <c r="K33" i="22"/>
  <c r="U33" i="22" s="1"/>
  <c r="J33" i="22"/>
  <c r="G33" i="22"/>
  <c r="N33" i="22" s="1"/>
  <c r="O33" i="22" s="1"/>
  <c r="Z32" i="22"/>
  <c r="AA32" i="22" s="1"/>
  <c r="L32" i="22"/>
  <c r="V32" i="22" s="1"/>
  <c r="K32" i="22"/>
  <c r="U32" i="22" s="1"/>
  <c r="J32" i="22"/>
  <c r="G32" i="22"/>
  <c r="N32" i="22" s="1"/>
  <c r="O32" i="22" s="1"/>
  <c r="Z31" i="22"/>
  <c r="AA31" i="22" s="1"/>
  <c r="N31" i="22"/>
  <c r="O31" i="22" s="1"/>
  <c r="L31" i="22"/>
  <c r="V31" i="22" s="1"/>
  <c r="K31" i="22"/>
  <c r="U31" i="22" s="1"/>
  <c r="J31" i="22"/>
  <c r="G31" i="22"/>
  <c r="M31" i="22" s="1"/>
  <c r="W31" i="22" s="1"/>
  <c r="Z30" i="22"/>
  <c r="AA30" i="22" s="1"/>
  <c r="L30" i="22"/>
  <c r="V30" i="22" s="1"/>
  <c r="K30" i="22"/>
  <c r="U30" i="22" s="1"/>
  <c r="J30" i="22"/>
  <c r="G30" i="22"/>
  <c r="N30" i="22" s="1"/>
  <c r="O30" i="22" s="1"/>
  <c r="AA29" i="22"/>
  <c r="Z29" i="22"/>
  <c r="L29" i="22"/>
  <c r="V29" i="22" s="1"/>
  <c r="K29" i="22"/>
  <c r="U29" i="22" s="1"/>
  <c r="J29" i="22"/>
  <c r="G29" i="22"/>
  <c r="N29" i="22" s="1"/>
  <c r="O29" i="22" s="1"/>
  <c r="Z28" i="22"/>
  <c r="AA28" i="22" s="1"/>
  <c r="L28" i="22"/>
  <c r="V28" i="22" s="1"/>
  <c r="K28" i="22"/>
  <c r="U28" i="22" s="1"/>
  <c r="J28" i="22"/>
  <c r="G28" i="22"/>
  <c r="M28" i="22" s="1"/>
  <c r="W28" i="22" s="1"/>
  <c r="AA27" i="22"/>
  <c r="Z27" i="22"/>
  <c r="L27" i="22"/>
  <c r="V27" i="22" s="1"/>
  <c r="K27" i="22"/>
  <c r="U27" i="22" s="1"/>
  <c r="J27" i="22"/>
  <c r="G27" i="22"/>
  <c r="N27" i="22" s="1"/>
  <c r="O27" i="22" s="1"/>
  <c r="Z26" i="22"/>
  <c r="AA26" i="22" s="1"/>
  <c r="N26" i="22"/>
  <c r="O26" i="22" s="1"/>
  <c r="L26" i="22"/>
  <c r="V26" i="22" s="1"/>
  <c r="K26" i="22"/>
  <c r="U26" i="22" s="1"/>
  <c r="J26" i="22"/>
  <c r="G26" i="22"/>
  <c r="M26" i="22" s="1"/>
  <c r="W26" i="22" s="1"/>
  <c r="S26" i="22" s="1"/>
  <c r="Z25" i="22"/>
  <c r="AA25" i="22" s="1"/>
  <c r="M25" i="22"/>
  <c r="W25" i="22" s="1"/>
  <c r="L25" i="22"/>
  <c r="V25" i="22" s="1"/>
  <c r="K25" i="22"/>
  <c r="U25" i="22" s="1"/>
  <c r="J25" i="22"/>
  <c r="G25" i="22"/>
  <c r="N25" i="22" s="1"/>
  <c r="O25" i="22" s="1"/>
  <c r="AA24" i="22"/>
  <c r="Z24" i="22"/>
  <c r="N24" i="22"/>
  <c r="O24" i="22" s="1"/>
  <c r="M24" i="22"/>
  <c r="W24" i="22" s="1"/>
  <c r="L24" i="22"/>
  <c r="V24" i="22" s="1"/>
  <c r="K24" i="22"/>
  <c r="U24" i="22" s="1"/>
  <c r="J24" i="22"/>
  <c r="G24" i="22"/>
  <c r="Z23" i="22"/>
  <c r="AA23" i="22" s="1"/>
  <c r="L23" i="22"/>
  <c r="V23" i="22" s="1"/>
  <c r="Q23" i="22" s="1"/>
  <c r="K23" i="22"/>
  <c r="U23" i="22" s="1"/>
  <c r="J23" i="22"/>
  <c r="G23" i="22"/>
  <c r="N23" i="22" s="1"/>
  <c r="O23" i="22" s="1"/>
  <c r="AA22" i="22"/>
  <c r="Z22" i="22"/>
  <c r="V22" i="22"/>
  <c r="N22" i="22"/>
  <c r="O22" i="22" s="1"/>
  <c r="M22" i="22"/>
  <c r="W22" i="22" s="1"/>
  <c r="S22" i="22" s="1"/>
  <c r="L22" i="22"/>
  <c r="K22" i="22"/>
  <c r="U22" i="22" s="1"/>
  <c r="J22" i="22"/>
  <c r="G22" i="22"/>
  <c r="Z21" i="22"/>
  <c r="AA21" i="22" s="1"/>
  <c r="N21" i="22"/>
  <c r="O21" i="22" s="1"/>
  <c r="M21" i="22"/>
  <c r="W21" i="22" s="1"/>
  <c r="S21" i="22" s="1"/>
  <c r="L21" i="22"/>
  <c r="V21" i="22" s="1"/>
  <c r="K21" i="22"/>
  <c r="U21" i="22" s="1"/>
  <c r="P21" i="22" s="1"/>
  <c r="J21" i="22"/>
  <c r="G21" i="22"/>
  <c r="Z20" i="22"/>
  <c r="AA20" i="22" s="1"/>
  <c r="V20" i="22"/>
  <c r="Q20" i="22" s="1"/>
  <c r="L20" i="22"/>
  <c r="K20" i="22"/>
  <c r="U20" i="22" s="1"/>
  <c r="J20" i="22"/>
  <c r="G20" i="22"/>
  <c r="M20" i="22" s="1"/>
  <c r="W20" i="22" s="1"/>
  <c r="AA19" i="22"/>
  <c r="Z19" i="22"/>
  <c r="V19" i="22"/>
  <c r="U19" i="22"/>
  <c r="L19" i="22"/>
  <c r="K19" i="22"/>
  <c r="J19" i="22"/>
  <c r="G19" i="22"/>
  <c r="N19" i="22" s="1"/>
  <c r="O19" i="22" s="1"/>
  <c r="Z18" i="22"/>
  <c r="AA18" i="22" s="1"/>
  <c r="V18" i="22"/>
  <c r="U18" i="22"/>
  <c r="L18" i="22"/>
  <c r="K18" i="22"/>
  <c r="J18" i="22"/>
  <c r="G18" i="22"/>
  <c r="N18" i="22" s="1"/>
  <c r="O18" i="22" s="1"/>
  <c r="AA17" i="22"/>
  <c r="Z17" i="22"/>
  <c r="L17" i="22"/>
  <c r="V17" i="22" s="1"/>
  <c r="Q17" i="22" s="1"/>
  <c r="K17" i="22"/>
  <c r="U17" i="22" s="1"/>
  <c r="J17" i="22"/>
  <c r="G17" i="22"/>
  <c r="N17" i="22" s="1"/>
  <c r="O17" i="22" s="1"/>
  <c r="Z16" i="22"/>
  <c r="AA16" i="22" s="1"/>
  <c r="W16" i="22"/>
  <c r="M16" i="22"/>
  <c r="L16" i="22"/>
  <c r="V16" i="22" s="1"/>
  <c r="K16" i="22"/>
  <c r="U16" i="22" s="1"/>
  <c r="J16" i="22"/>
  <c r="G16" i="22"/>
  <c r="N16" i="22" s="1"/>
  <c r="O16" i="22" s="1"/>
  <c r="Z15" i="22"/>
  <c r="AA15" i="22" s="1"/>
  <c r="V15" i="22"/>
  <c r="N15" i="22"/>
  <c r="O15" i="22" s="1"/>
  <c r="M15" i="22"/>
  <c r="W15" i="22" s="1"/>
  <c r="S15" i="22" s="1"/>
  <c r="L15" i="22"/>
  <c r="K15" i="22"/>
  <c r="U15" i="22" s="1"/>
  <c r="J15" i="22"/>
  <c r="G15" i="22"/>
  <c r="AA14" i="22"/>
  <c r="Z14" i="22"/>
  <c r="L14" i="22"/>
  <c r="V14" i="22" s="1"/>
  <c r="K14" i="22"/>
  <c r="U14" i="22" s="1"/>
  <c r="J14" i="22"/>
  <c r="G14" i="22"/>
  <c r="N14" i="22" s="1"/>
  <c r="O14" i="22" s="1"/>
  <c r="Z13" i="22"/>
  <c r="AA13" i="22" s="1"/>
  <c r="M13" i="22"/>
  <c r="W13" i="22" s="1"/>
  <c r="L13" i="22"/>
  <c r="V13" i="22" s="1"/>
  <c r="K13" i="22"/>
  <c r="U13" i="22" s="1"/>
  <c r="P13" i="22" s="1"/>
  <c r="J13" i="22"/>
  <c r="G13" i="22"/>
  <c r="N13" i="22" s="1"/>
  <c r="O13" i="22" s="1"/>
  <c r="AA12" i="22"/>
  <c r="Z12" i="22"/>
  <c r="L12" i="22"/>
  <c r="V12" i="22" s="1"/>
  <c r="K12" i="22"/>
  <c r="U12" i="22" s="1"/>
  <c r="J12" i="22"/>
  <c r="G12" i="22"/>
  <c r="M12" i="22" s="1"/>
  <c r="W12" i="22" s="1"/>
  <c r="Z11" i="22"/>
  <c r="AA11" i="22" s="1"/>
  <c r="N11" i="22"/>
  <c r="O11" i="22" s="1"/>
  <c r="L11" i="22"/>
  <c r="V11" i="22" s="1"/>
  <c r="K11" i="22"/>
  <c r="U11" i="22" s="1"/>
  <c r="J11" i="22"/>
  <c r="G11" i="22"/>
  <c r="M11" i="22" s="1"/>
  <c r="W11" i="22" s="1"/>
  <c r="Z10" i="22"/>
  <c r="AA10" i="22" s="1"/>
  <c r="N10" i="22"/>
  <c r="O10" i="22" s="1"/>
  <c r="M10" i="22"/>
  <c r="W10" i="22" s="1"/>
  <c r="S10" i="22" s="1"/>
  <c r="L10" i="22"/>
  <c r="V10" i="22" s="1"/>
  <c r="Q10" i="22" s="1"/>
  <c r="K10" i="22"/>
  <c r="U10" i="22" s="1"/>
  <c r="P10" i="22" s="1"/>
  <c r="J10" i="22"/>
  <c r="G10" i="22"/>
  <c r="AA9" i="22"/>
  <c r="Z9" i="22"/>
  <c r="L9" i="22"/>
  <c r="V9" i="22" s="1"/>
  <c r="Q9" i="22" s="1"/>
  <c r="K9" i="22"/>
  <c r="U9" i="22" s="1"/>
  <c r="P9" i="22" s="1"/>
  <c r="J9" i="22"/>
  <c r="G9" i="22"/>
  <c r="N9" i="22" s="1"/>
  <c r="O9" i="22" s="1"/>
  <c r="Z8" i="22"/>
  <c r="AA8" i="22" s="1"/>
  <c r="L8" i="22"/>
  <c r="V8" i="22" s="1"/>
  <c r="K8" i="22"/>
  <c r="U8" i="22" s="1"/>
  <c r="P8" i="22" s="1"/>
  <c r="J8" i="22"/>
  <c r="G8" i="22"/>
  <c r="N8" i="22" s="1"/>
  <c r="O8" i="22" s="1"/>
  <c r="Z7" i="22"/>
  <c r="AA7" i="22" s="1"/>
  <c r="V7" i="22"/>
  <c r="Q7" i="22" s="1"/>
  <c r="U7" i="22"/>
  <c r="M7" i="22"/>
  <c r="W7" i="22" s="1"/>
  <c r="L7" i="22"/>
  <c r="K7" i="22"/>
  <c r="J7" i="22"/>
  <c r="G7" i="22"/>
  <c r="N7" i="22" s="1"/>
  <c r="O7" i="22" s="1"/>
  <c r="Q3" i="22"/>
  <c r="P7" i="22" s="1"/>
  <c r="P3" i="22"/>
  <c r="Q32" i="22" s="1"/>
  <c r="O3" i="22"/>
  <c r="R31" i="22" s="1"/>
  <c r="G17" i="19"/>
  <c r="N17" i="19" s="1"/>
  <c r="O17" i="19" s="1"/>
  <c r="G16" i="19"/>
  <c r="M16" i="19" s="1"/>
  <c r="G18" i="19"/>
  <c r="M18" i="19" s="1"/>
  <c r="W18" i="19" s="1"/>
  <c r="P44" i="19"/>
  <c r="M32" i="19"/>
  <c r="N21" i="19"/>
  <c r="O21" i="19" s="1"/>
  <c r="M22" i="19"/>
  <c r="X38" i="19"/>
  <c r="Z37" i="19"/>
  <c r="AA37" i="19" s="1"/>
  <c r="L37" i="19"/>
  <c r="V37" i="19" s="1"/>
  <c r="K37" i="19"/>
  <c r="U37" i="19" s="1"/>
  <c r="J37" i="19"/>
  <c r="G37" i="19"/>
  <c r="N37" i="19" s="1"/>
  <c r="O37" i="19" s="1"/>
  <c r="Z36" i="19"/>
  <c r="AA36" i="19" s="1"/>
  <c r="L36" i="19"/>
  <c r="V36" i="19" s="1"/>
  <c r="K36" i="19"/>
  <c r="U36" i="19" s="1"/>
  <c r="J36" i="19"/>
  <c r="G36" i="19"/>
  <c r="N36" i="19" s="1"/>
  <c r="O36" i="19" s="1"/>
  <c r="Z35" i="19"/>
  <c r="AA35" i="19" s="1"/>
  <c r="L35" i="19"/>
  <c r="V35" i="19" s="1"/>
  <c r="K35" i="19"/>
  <c r="U35" i="19" s="1"/>
  <c r="J35" i="19"/>
  <c r="G35" i="19"/>
  <c r="M35" i="19" s="1"/>
  <c r="W35" i="19" s="1"/>
  <c r="Z34" i="19"/>
  <c r="AA34" i="19" s="1"/>
  <c r="L34" i="19"/>
  <c r="V34" i="19" s="1"/>
  <c r="K34" i="19"/>
  <c r="U34" i="19" s="1"/>
  <c r="J34" i="19"/>
  <c r="G34" i="19"/>
  <c r="N34" i="19" s="1"/>
  <c r="O34" i="19" s="1"/>
  <c r="Z33" i="19"/>
  <c r="AA33" i="19" s="1"/>
  <c r="L33" i="19"/>
  <c r="V33" i="19" s="1"/>
  <c r="K33" i="19"/>
  <c r="U33" i="19" s="1"/>
  <c r="J33" i="19"/>
  <c r="G33" i="19"/>
  <c r="N33" i="19" s="1"/>
  <c r="O33" i="19" s="1"/>
  <c r="Z32" i="19"/>
  <c r="AA32" i="19" s="1"/>
  <c r="L32" i="19"/>
  <c r="V32" i="19" s="1"/>
  <c r="K32" i="19"/>
  <c r="U32" i="19" s="1"/>
  <c r="J32" i="19"/>
  <c r="Z30" i="19"/>
  <c r="AA30" i="19" s="1"/>
  <c r="L30" i="19"/>
  <c r="V30" i="19" s="1"/>
  <c r="K30" i="19"/>
  <c r="U30" i="19" s="1"/>
  <c r="J30" i="19"/>
  <c r="G30" i="19"/>
  <c r="N30" i="19" s="1"/>
  <c r="O30" i="19" s="1"/>
  <c r="Z29" i="19"/>
  <c r="AA29" i="19" s="1"/>
  <c r="L29" i="19"/>
  <c r="V29" i="19" s="1"/>
  <c r="K29" i="19"/>
  <c r="U29" i="19" s="1"/>
  <c r="J29" i="19"/>
  <c r="G29" i="19"/>
  <c r="N29" i="19" s="1"/>
  <c r="O29" i="19" s="1"/>
  <c r="Z27" i="19"/>
  <c r="AA27" i="19" s="1"/>
  <c r="L27" i="19"/>
  <c r="V27" i="19" s="1"/>
  <c r="K27" i="19"/>
  <c r="U27" i="19" s="1"/>
  <c r="J27" i="19"/>
  <c r="G27" i="19"/>
  <c r="N27" i="19" s="1"/>
  <c r="O27" i="19" s="1"/>
  <c r="Z26" i="19"/>
  <c r="AA26" i="19" s="1"/>
  <c r="L26" i="19"/>
  <c r="V26" i="19" s="1"/>
  <c r="K26" i="19"/>
  <c r="U26" i="19" s="1"/>
  <c r="J26" i="19"/>
  <c r="G26" i="19"/>
  <c r="M26" i="19" s="1"/>
  <c r="W26" i="19" s="1"/>
  <c r="Z25" i="19"/>
  <c r="AA25" i="19" s="1"/>
  <c r="L25" i="19"/>
  <c r="V25" i="19" s="1"/>
  <c r="K25" i="19"/>
  <c r="U25" i="19" s="1"/>
  <c r="J25" i="19"/>
  <c r="G25" i="19"/>
  <c r="N25" i="19" s="1"/>
  <c r="O25" i="19" s="1"/>
  <c r="Z24" i="19"/>
  <c r="AA24" i="19" s="1"/>
  <c r="L24" i="19"/>
  <c r="V24" i="19" s="1"/>
  <c r="K24" i="19"/>
  <c r="U24" i="19" s="1"/>
  <c r="J24" i="19"/>
  <c r="G24" i="19"/>
  <c r="N24" i="19" s="1"/>
  <c r="O24" i="19" s="1"/>
  <c r="Z23" i="19"/>
  <c r="AA23" i="19" s="1"/>
  <c r="L23" i="19"/>
  <c r="V23" i="19" s="1"/>
  <c r="K23" i="19"/>
  <c r="U23" i="19" s="1"/>
  <c r="J23" i="19"/>
  <c r="G23" i="19"/>
  <c r="M23" i="19" s="1"/>
  <c r="W23" i="19" s="1"/>
  <c r="Z22" i="19"/>
  <c r="AA22" i="19" s="1"/>
  <c r="L22" i="19"/>
  <c r="V22" i="19" s="1"/>
  <c r="K22" i="19"/>
  <c r="U22" i="19" s="1"/>
  <c r="P22" i="19" s="1"/>
  <c r="J22" i="19"/>
  <c r="Z21" i="19"/>
  <c r="AA21" i="19" s="1"/>
  <c r="L21" i="19"/>
  <c r="V21" i="19" s="1"/>
  <c r="K21" i="19"/>
  <c r="U21" i="19" s="1"/>
  <c r="J21" i="19"/>
  <c r="Z20" i="19"/>
  <c r="AA20" i="19" s="1"/>
  <c r="L20" i="19"/>
  <c r="V20" i="19" s="1"/>
  <c r="K20" i="19"/>
  <c r="U20" i="19" s="1"/>
  <c r="J20" i="19"/>
  <c r="G20" i="19"/>
  <c r="N20" i="19" s="1"/>
  <c r="O20" i="19" s="1"/>
  <c r="Z19" i="19"/>
  <c r="AA19" i="19" s="1"/>
  <c r="L19" i="19"/>
  <c r="V19" i="19" s="1"/>
  <c r="K19" i="19"/>
  <c r="U19" i="19" s="1"/>
  <c r="J19" i="19"/>
  <c r="G19" i="19"/>
  <c r="N19" i="19" s="1"/>
  <c r="O19" i="19" s="1"/>
  <c r="Z18" i="19"/>
  <c r="AA18" i="19" s="1"/>
  <c r="L18" i="19"/>
  <c r="V18" i="19" s="1"/>
  <c r="K18" i="19"/>
  <c r="U18" i="19" s="1"/>
  <c r="J18" i="19"/>
  <c r="Z17" i="19"/>
  <c r="AA17" i="19" s="1"/>
  <c r="L17" i="19"/>
  <c r="V17" i="19" s="1"/>
  <c r="K17" i="19"/>
  <c r="U17" i="19" s="1"/>
  <c r="P17" i="19" s="1"/>
  <c r="J17" i="19"/>
  <c r="Z16" i="19"/>
  <c r="AA16" i="19" s="1"/>
  <c r="L16" i="19"/>
  <c r="V16" i="19" s="1"/>
  <c r="K16" i="19"/>
  <c r="U16" i="19" s="1"/>
  <c r="J16" i="19"/>
  <c r="Z15" i="19"/>
  <c r="AA15" i="19" s="1"/>
  <c r="L15" i="19"/>
  <c r="V15" i="19" s="1"/>
  <c r="K15" i="19"/>
  <c r="U15" i="19" s="1"/>
  <c r="J15" i="19"/>
  <c r="G15" i="19"/>
  <c r="M15" i="19" s="1"/>
  <c r="W15" i="19" s="1"/>
  <c r="Z14" i="19"/>
  <c r="AA14" i="19" s="1"/>
  <c r="L14" i="19"/>
  <c r="V14" i="19" s="1"/>
  <c r="K14" i="19"/>
  <c r="U14" i="19" s="1"/>
  <c r="J14" i="19"/>
  <c r="G14" i="19"/>
  <c r="M14" i="19" s="1"/>
  <c r="W14" i="19" s="1"/>
  <c r="Z13" i="19"/>
  <c r="AA13" i="19" s="1"/>
  <c r="L13" i="19"/>
  <c r="V13" i="19" s="1"/>
  <c r="K13" i="19"/>
  <c r="U13" i="19" s="1"/>
  <c r="J13" i="19"/>
  <c r="G13" i="19"/>
  <c r="N13" i="19" s="1"/>
  <c r="O13" i="19" s="1"/>
  <c r="Z12" i="19"/>
  <c r="AA12" i="19" s="1"/>
  <c r="L12" i="19"/>
  <c r="V12" i="19" s="1"/>
  <c r="K12" i="19"/>
  <c r="U12" i="19" s="1"/>
  <c r="J12" i="19"/>
  <c r="G12" i="19"/>
  <c r="N12" i="19" s="1"/>
  <c r="O12" i="19" s="1"/>
  <c r="Z11" i="19"/>
  <c r="AA11" i="19" s="1"/>
  <c r="L11" i="19"/>
  <c r="V11" i="19" s="1"/>
  <c r="K11" i="19"/>
  <c r="U11" i="19" s="1"/>
  <c r="J11" i="19"/>
  <c r="G11" i="19"/>
  <c r="N11" i="19" s="1"/>
  <c r="O11" i="19" s="1"/>
  <c r="Z10" i="19"/>
  <c r="AA10" i="19" s="1"/>
  <c r="L10" i="19"/>
  <c r="V10" i="19" s="1"/>
  <c r="K10" i="19"/>
  <c r="U10" i="19" s="1"/>
  <c r="J10" i="19"/>
  <c r="G10" i="19"/>
  <c r="N10" i="19" s="1"/>
  <c r="O10" i="19" s="1"/>
  <c r="Z9" i="19"/>
  <c r="AA9" i="19" s="1"/>
  <c r="L9" i="19"/>
  <c r="V9" i="19" s="1"/>
  <c r="K9" i="19"/>
  <c r="U9" i="19" s="1"/>
  <c r="J9" i="19"/>
  <c r="G9" i="19"/>
  <c r="N9" i="19" s="1"/>
  <c r="O9" i="19" s="1"/>
  <c r="Z8" i="19"/>
  <c r="AA8" i="19" s="1"/>
  <c r="L8" i="19"/>
  <c r="V8" i="19" s="1"/>
  <c r="K8" i="19"/>
  <c r="U8" i="19" s="1"/>
  <c r="J8" i="19"/>
  <c r="G8" i="19"/>
  <c r="M8" i="19" s="1"/>
  <c r="W8" i="19" s="1"/>
  <c r="Z7" i="19"/>
  <c r="AA7" i="19" s="1"/>
  <c r="L7" i="19"/>
  <c r="V7" i="19" s="1"/>
  <c r="K7" i="19"/>
  <c r="U7" i="19" s="1"/>
  <c r="J7" i="19"/>
  <c r="G7" i="19"/>
  <c r="N7" i="19" s="1"/>
  <c r="O7" i="19" s="1"/>
  <c r="Q3" i="19"/>
  <c r="P31" i="19" s="1"/>
  <c r="P3" i="19"/>
  <c r="S31" i="19" s="1"/>
  <c r="O3" i="19"/>
  <c r="R31" i="19" s="1"/>
  <c r="S24" i="22" l="1"/>
  <c r="S12" i="22"/>
  <c r="S20" i="22"/>
  <c r="Q27" i="22"/>
  <c r="M23" i="22"/>
  <c r="W23" i="22" s="1"/>
  <c r="S23" i="22" s="1"/>
  <c r="M27" i="22"/>
  <c r="W27" i="22" s="1"/>
  <c r="Q28" i="19"/>
  <c r="P12" i="22"/>
  <c r="Q21" i="22"/>
  <c r="T21" i="22" s="1"/>
  <c r="P22" i="22"/>
  <c r="S28" i="19"/>
  <c r="R33" i="19"/>
  <c r="P42" i="19"/>
  <c r="P13" i="19"/>
  <c r="Q8" i="22"/>
  <c r="M9" i="22"/>
  <c r="W9" i="22" s="1"/>
  <c r="S9" i="22" s="1"/>
  <c r="Q12" i="22"/>
  <c r="Q22" i="22"/>
  <c r="P23" i="22"/>
  <c r="P26" i="22"/>
  <c r="P29" i="22"/>
  <c r="M32" i="22"/>
  <c r="W32" i="22" s="1"/>
  <c r="Q31" i="19"/>
  <c r="T31" i="19" s="1"/>
  <c r="R10" i="22"/>
  <c r="M8" i="22"/>
  <c r="W8" i="22" s="1"/>
  <c r="S8" i="22" s="1"/>
  <c r="T8" i="22" s="1"/>
  <c r="N12" i="22"/>
  <c r="O12" i="22" s="1"/>
  <c r="Q14" i="22"/>
  <c r="P20" i="22"/>
  <c r="Q26" i="22"/>
  <c r="M29" i="22"/>
  <c r="W29" i="22" s="1"/>
  <c r="S29" i="22" s="1"/>
  <c r="T29" i="22" s="1"/>
  <c r="R21" i="22"/>
  <c r="P28" i="19"/>
  <c r="T10" i="22"/>
  <c r="S7" i="22"/>
  <c r="P11" i="22"/>
  <c r="Q16" i="22"/>
  <c r="P19" i="22"/>
  <c r="S16" i="19"/>
  <c r="R8" i="22"/>
  <c r="Q11" i="22"/>
  <c r="Q19" i="22"/>
  <c r="P14" i="19"/>
  <c r="Q19" i="19"/>
  <c r="S18" i="19"/>
  <c r="Q25" i="22"/>
  <c r="P28" i="22"/>
  <c r="R28" i="19"/>
  <c r="S16" i="22"/>
  <c r="S25" i="22"/>
  <c r="Q28" i="22"/>
  <c r="Q18" i="22"/>
  <c r="Q24" i="22"/>
  <c r="N28" i="22"/>
  <c r="O28" i="22" s="1"/>
  <c r="P33" i="22"/>
  <c r="R11" i="22"/>
  <c r="R16" i="22"/>
  <c r="P18" i="22"/>
  <c r="N20" i="22"/>
  <c r="O20" i="22" s="1"/>
  <c r="S31" i="22"/>
  <c r="R32" i="22"/>
  <c r="Q33" i="22"/>
  <c r="P34" i="22"/>
  <c r="N36" i="22"/>
  <c r="O36" i="22" s="1"/>
  <c r="R17" i="22"/>
  <c r="S32" i="22"/>
  <c r="R33" i="22"/>
  <c r="Q34" i="22"/>
  <c r="P35" i="22"/>
  <c r="R18" i="22"/>
  <c r="R34" i="22"/>
  <c r="Q35" i="22"/>
  <c r="P36" i="22"/>
  <c r="R19" i="22"/>
  <c r="R35" i="22"/>
  <c r="Q36" i="22"/>
  <c r="P37" i="22"/>
  <c r="R20" i="22"/>
  <c r="R36" i="22"/>
  <c r="Q37" i="22"/>
  <c r="S36" i="22"/>
  <c r="R37" i="22"/>
  <c r="R22" i="22"/>
  <c r="T22" i="22" s="1"/>
  <c r="P24" i="22"/>
  <c r="S37" i="22"/>
  <c r="R7" i="22"/>
  <c r="R23" i="22"/>
  <c r="P25" i="22"/>
  <c r="R24" i="22"/>
  <c r="R9" i="22"/>
  <c r="T9" i="22" s="1"/>
  <c r="M14" i="22"/>
  <c r="W14" i="22" s="1"/>
  <c r="S14" i="22" s="1"/>
  <c r="R25" i="22"/>
  <c r="P27" i="22"/>
  <c r="M30" i="22"/>
  <c r="W30" i="22" s="1"/>
  <c r="S30" i="22" s="1"/>
  <c r="T30" i="22" s="1"/>
  <c r="R26" i="22"/>
  <c r="T26" i="22" s="1"/>
  <c r="R27" i="22"/>
  <c r="S11" i="22"/>
  <c r="R12" i="22"/>
  <c r="Q13" i="22"/>
  <c r="P14" i="22"/>
  <c r="M17" i="22"/>
  <c r="W17" i="22" s="1"/>
  <c r="S17" i="22" s="1"/>
  <c r="S27" i="22"/>
  <c r="T27" i="22" s="1"/>
  <c r="R28" i="22"/>
  <c r="Q29" i="22"/>
  <c r="P30" i="22"/>
  <c r="M33" i="22"/>
  <c r="W33" i="22" s="1"/>
  <c r="S33" i="22" s="1"/>
  <c r="T33" i="22" s="1"/>
  <c r="R13" i="22"/>
  <c r="P15" i="22"/>
  <c r="M18" i="22"/>
  <c r="W18" i="22" s="1"/>
  <c r="S18" i="22" s="1"/>
  <c r="S28" i="22"/>
  <c r="R29" i="22"/>
  <c r="Q30" i="22"/>
  <c r="P31" i="22"/>
  <c r="M34" i="22"/>
  <c r="W34" i="22" s="1"/>
  <c r="S34" i="22" s="1"/>
  <c r="S13" i="22"/>
  <c r="R14" i="22"/>
  <c r="Q15" i="22"/>
  <c r="P16" i="22"/>
  <c r="T16" i="22" s="1"/>
  <c r="M19" i="22"/>
  <c r="W19" i="22" s="1"/>
  <c r="S19" i="22" s="1"/>
  <c r="R30" i="22"/>
  <c r="Q31" i="22"/>
  <c r="P32" i="22"/>
  <c r="M35" i="22"/>
  <c r="W35" i="22" s="1"/>
  <c r="S35" i="22" s="1"/>
  <c r="T35" i="22" s="1"/>
  <c r="R15" i="22"/>
  <c r="P17" i="22"/>
  <c r="P11" i="19"/>
  <c r="P9" i="19"/>
  <c r="P21" i="19"/>
  <c r="P35" i="19"/>
  <c r="M25" i="19"/>
  <c r="W25" i="19" s="1"/>
  <c r="S25" i="19" s="1"/>
  <c r="N22" i="19"/>
  <c r="O22" i="19" s="1"/>
  <c r="N8" i="19"/>
  <c r="O8" i="19" s="1"/>
  <c r="S14" i="19"/>
  <c r="Q12" i="19"/>
  <c r="Q20" i="19"/>
  <c r="S26" i="19"/>
  <c r="Q11" i="19"/>
  <c r="Q27" i="19"/>
  <c r="R18" i="19"/>
  <c r="P29" i="19"/>
  <c r="R26" i="19"/>
  <c r="P16" i="19"/>
  <c r="R10" i="19"/>
  <c r="P8" i="19"/>
  <c r="P12" i="19"/>
  <c r="P20" i="19"/>
  <c r="M7" i="19"/>
  <c r="W7" i="19" s="1"/>
  <c r="S7" i="19" s="1"/>
  <c r="N16" i="19"/>
  <c r="O16" i="19" s="1"/>
  <c r="M9" i="19"/>
  <c r="W9" i="19" s="1"/>
  <c r="S9" i="19" s="1"/>
  <c r="M17" i="19"/>
  <c r="W17" i="19" s="1"/>
  <c r="S17" i="19" s="1"/>
  <c r="N32" i="19"/>
  <c r="O32" i="19" s="1"/>
  <c r="N35" i="19"/>
  <c r="O35" i="19" s="1"/>
  <c r="M33" i="19"/>
  <c r="W33" i="19" s="1"/>
  <c r="S33" i="19" s="1"/>
  <c r="Q34" i="19"/>
  <c r="M30" i="19"/>
  <c r="W30" i="19" s="1"/>
  <c r="S30" i="19" s="1"/>
  <c r="M24" i="19"/>
  <c r="W24" i="19" s="1"/>
  <c r="S24" i="19" s="1"/>
  <c r="N23" i="19"/>
  <c r="O23" i="19" s="1"/>
  <c r="N26" i="19"/>
  <c r="O26" i="19" s="1"/>
  <c r="N14" i="19"/>
  <c r="O14" i="19" s="1"/>
  <c r="N15" i="19"/>
  <c r="O15" i="19" s="1"/>
  <c r="N18" i="19"/>
  <c r="O18" i="19" s="1"/>
  <c r="R34" i="19"/>
  <c r="Q35" i="19"/>
  <c r="P36" i="19"/>
  <c r="R11" i="19"/>
  <c r="R35" i="19"/>
  <c r="Q36" i="19"/>
  <c r="P37" i="19"/>
  <c r="R12" i="19"/>
  <c r="R20" i="19"/>
  <c r="Q29" i="19"/>
  <c r="P30" i="19"/>
  <c r="S35" i="19"/>
  <c r="R36" i="19"/>
  <c r="Q37" i="19"/>
  <c r="R19" i="19"/>
  <c r="Q13" i="19"/>
  <c r="Q21" i="19"/>
  <c r="P7" i="19"/>
  <c r="M10" i="19"/>
  <c r="W10" i="19" s="1"/>
  <c r="S10" i="19" s="1"/>
  <c r="R13" i="19"/>
  <c r="Q14" i="19"/>
  <c r="P15" i="19"/>
  <c r="R21" i="19"/>
  <c r="Q22" i="19"/>
  <c r="P23" i="19"/>
  <c r="R29" i="19"/>
  <c r="Q30" i="19"/>
  <c r="M34" i="19"/>
  <c r="W34" i="19" s="1"/>
  <c r="S34" i="19" s="1"/>
  <c r="R37" i="19"/>
  <c r="Q7" i="19"/>
  <c r="M11" i="19"/>
  <c r="W11" i="19" s="1"/>
  <c r="S11" i="19" s="1"/>
  <c r="R14" i="19"/>
  <c r="Q15" i="19"/>
  <c r="M19" i="19"/>
  <c r="W19" i="19" s="1"/>
  <c r="S19" i="19" s="1"/>
  <c r="R22" i="19"/>
  <c r="Q23" i="19"/>
  <c r="P24" i="19"/>
  <c r="M27" i="19"/>
  <c r="W27" i="19" s="1"/>
  <c r="S27" i="19" s="1"/>
  <c r="R30" i="19"/>
  <c r="P32" i="19"/>
  <c r="Q8" i="19"/>
  <c r="R15" i="19"/>
  <c r="M20" i="19"/>
  <c r="W20" i="19" s="1"/>
  <c r="S20" i="19" s="1"/>
  <c r="T20" i="19" s="1"/>
  <c r="S22" i="19"/>
  <c r="R23" i="19"/>
  <c r="Q24" i="19"/>
  <c r="P25" i="19"/>
  <c r="Q32" i="19"/>
  <c r="P33" i="19"/>
  <c r="M36" i="19"/>
  <c r="W36" i="19" s="1"/>
  <c r="S36" i="19" s="1"/>
  <c r="R27" i="19"/>
  <c r="R7" i="19"/>
  <c r="M12" i="19"/>
  <c r="W12" i="19" s="1"/>
  <c r="S12" i="19" s="1"/>
  <c r="Q16" i="19"/>
  <c r="R8" i="19"/>
  <c r="Q9" i="19"/>
  <c r="P10" i="19"/>
  <c r="M13" i="19"/>
  <c r="W13" i="19" s="1"/>
  <c r="S13" i="19" s="1"/>
  <c r="S15" i="19"/>
  <c r="R16" i="19"/>
  <c r="Q17" i="19"/>
  <c r="P18" i="19"/>
  <c r="M21" i="19"/>
  <c r="S23" i="19"/>
  <c r="R24" i="19"/>
  <c r="Q25" i="19"/>
  <c r="P26" i="19"/>
  <c r="M29" i="19"/>
  <c r="W29" i="19" s="1"/>
  <c r="S29" i="19" s="1"/>
  <c r="R32" i="19"/>
  <c r="Q33" i="19"/>
  <c r="P34" i="19"/>
  <c r="M37" i="19"/>
  <c r="W37" i="19" s="1"/>
  <c r="S37" i="19" s="1"/>
  <c r="S8" i="19"/>
  <c r="R9" i="19"/>
  <c r="Q10" i="19"/>
  <c r="R17" i="19"/>
  <c r="Q18" i="19"/>
  <c r="P19" i="19"/>
  <c r="R25" i="19"/>
  <c r="Q26" i="19"/>
  <c r="P27" i="19"/>
  <c r="S32" i="19"/>
  <c r="T20" i="22" l="1"/>
  <c r="T34" i="22"/>
  <c r="T25" i="22"/>
  <c r="T23" i="22"/>
  <c r="T28" i="22"/>
  <c r="T12" i="22"/>
  <c r="T7" i="22"/>
  <c r="T18" i="22"/>
  <c r="T37" i="22"/>
  <c r="T28" i="19"/>
  <c r="T15" i="22"/>
  <c r="T24" i="22"/>
  <c r="T19" i="22"/>
  <c r="T17" i="22"/>
  <c r="T13" i="22"/>
  <c r="T11" i="22"/>
  <c r="T36" i="22"/>
  <c r="T32" i="22"/>
  <c r="T14" i="22"/>
  <c r="T31" i="22"/>
  <c r="T13" i="19"/>
  <c r="T12" i="19"/>
  <c r="S21" i="19"/>
  <c r="T21" i="19" s="1"/>
  <c r="T11" i="19"/>
  <c r="T17" i="19"/>
  <c r="T9" i="19"/>
  <c r="Q39" i="19"/>
  <c r="P39" i="19"/>
  <c r="T35" i="19"/>
  <c r="T36" i="19"/>
  <c r="O39" i="19"/>
  <c r="T37" i="19"/>
  <c r="T29" i="19"/>
  <c r="T26" i="19"/>
  <c r="T25" i="19"/>
  <c r="T24" i="19"/>
  <c r="T34" i="19"/>
  <c r="T27" i="19"/>
  <c r="T32" i="19"/>
  <c r="T30" i="19"/>
  <c r="T19" i="19"/>
  <c r="T15" i="19"/>
  <c r="T18" i="19"/>
  <c r="T14" i="19"/>
  <c r="T16" i="19"/>
  <c r="T10" i="19"/>
  <c r="T33" i="19"/>
  <c r="T8" i="19"/>
  <c r="T23" i="19"/>
  <c r="T22" i="19"/>
  <c r="S39" i="19"/>
  <c r="T7" i="19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7" i="1"/>
  <c r="X38" i="2"/>
  <c r="Z37" i="2"/>
  <c r="AA37" i="2" s="1"/>
  <c r="L37" i="2"/>
  <c r="V37" i="2" s="1"/>
  <c r="K37" i="2"/>
  <c r="U37" i="2" s="1"/>
  <c r="J37" i="2"/>
  <c r="G37" i="2"/>
  <c r="Z36" i="2"/>
  <c r="AA36" i="2" s="1"/>
  <c r="L36" i="2"/>
  <c r="V36" i="2" s="1"/>
  <c r="K36" i="2"/>
  <c r="U36" i="2" s="1"/>
  <c r="J36" i="2"/>
  <c r="G36" i="2"/>
  <c r="Z35" i="2"/>
  <c r="AA35" i="2" s="1"/>
  <c r="L35" i="2"/>
  <c r="V35" i="2" s="1"/>
  <c r="K35" i="2"/>
  <c r="U35" i="2" s="1"/>
  <c r="J35" i="2"/>
  <c r="G35" i="2"/>
  <c r="M35" i="2" s="1"/>
  <c r="W35" i="2" s="1"/>
  <c r="Z34" i="2"/>
  <c r="AA34" i="2" s="1"/>
  <c r="L34" i="2"/>
  <c r="V34" i="2" s="1"/>
  <c r="K34" i="2"/>
  <c r="U34" i="2" s="1"/>
  <c r="J34" i="2"/>
  <c r="G34" i="2"/>
  <c r="N34" i="2" s="1"/>
  <c r="O34" i="2" s="1"/>
  <c r="Z33" i="2"/>
  <c r="AA33" i="2" s="1"/>
  <c r="L33" i="2"/>
  <c r="V33" i="2" s="1"/>
  <c r="K33" i="2"/>
  <c r="U33" i="2" s="1"/>
  <c r="J33" i="2"/>
  <c r="G33" i="2"/>
  <c r="N33" i="2" s="1"/>
  <c r="O33" i="2" s="1"/>
  <c r="Z32" i="2"/>
  <c r="AA32" i="2" s="1"/>
  <c r="L32" i="2"/>
  <c r="V32" i="2" s="1"/>
  <c r="K32" i="2"/>
  <c r="U32" i="2" s="1"/>
  <c r="J32" i="2"/>
  <c r="G32" i="2"/>
  <c r="Z31" i="2"/>
  <c r="AA31" i="2" s="1"/>
  <c r="L31" i="2"/>
  <c r="V31" i="2" s="1"/>
  <c r="K31" i="2"/>
  <c r="U31" i="2" s="1"/>
  <c r="J31" i="2"/>
  <c r="G31" i="2"/>
  <c r="M31" i="2" s="1"/>
  <c r="W31" i="2" s="1"/>
  <c r="Z30" i="2"/>
  <c r="AA30" i="2" s="1"/>
  <c r="L30" i="2"/>
  <c r="V30" i="2" s="1"/>
  <c r="K30" i="2"/>
  <c r="U30" i="2" s="1"/>
  <c r="J30" i="2"/>
  <c r="G30" i="2"/>
  <c r="N30" i="2" s="1"/>
  <c r="O30" i="2" s="1"/>
  <c r="Z29" i="2"/>
  <c r="AA29" i="2" s="1"/>
  <c r="L29" i="2"/>
  <c r="V29" i="2" s="1"/>
  <c r="K29" i="2"/>
  <c r="U29" i="2" s="1"/>
  <c r="J29" i="2"/>
  <c r="G29" i="2"/>
  <c r="N29" i="2" s="1"/>
  <c r="O29" i="2" s="1"/>
  <c r="Z28" i="2"/>
  <c r="AA28" i="2" s="1"/>
  <c r="L28" i="2"/>
  <c r="V28" i="2" s="1"/>
  <c r="K28" i="2"/>
  <c r="U28" i="2" s="1"/>
  <c r="J28" i="2"/>
  <c r="G28" i="2"/>
  <c r="Z27" i="2"/>
  <c r="AA27" i="2" s="1"/>
  <c r="L27" i="2"/>
  <c r="V27" i="2" s="1"/>
  <c r="K27" i="2"/>
  <c r="U27" i="2" s="1"/>
  <c r="J27" i="2"/>
  <c r="G27" i="2"/>
  <c r="Z26" i="2"/>
  <c r="AA26" i="2" s="1"/>
  <c r="L26" i="2"/>
  <c r="V26" i="2" s="1"/>
  <c r="K26" i="2"/>
  <c r="U26" i="2" s="1"/>
  <c r="J26" i="2"/>
  <c r="G26" i="2"/>
  <c r="N26" i="2" s="1"/>
  <c r="O26" i="2" s="1"/>
  <c r="Z25" i="2"/>
  <c r="AA25" i="2" s="1"/>
  <c r="L25" i="2"/>
  <c r="V25" i="2" s="1"/>
  <c r="K25" i="2"/>
  <c r="U25" i="2" s="1"/>
  <c r="J25" i="2"/>
  <c r="G25" i="2"/>
  <c r="N25" i="2" s="1"/>
  <c r="O25" i="2" s="1"/>
  <c r="Z24" i="2"/>
  <c r="AA24" i="2" s="1"/>
  <c r="L24" i="2"/>
  <c r="V24" i="2" s="1"/>
  <c r="K24" i="2"/>
  <c r="U24" i="2" s="1"/>
  <c r="J24" i="2"/>
  <c r="G24" i="2"/>
  <c r="N24" i="2" s="1"/>
  <c r="O24" i="2" s="1"/>
  <c r="Z23" i="2"/>
  <c r="AA23" i="2" s="1"/>
  <c r="L23" i="2"/>
  <c r="V23" i="2" s="1"/>
  <c r="K23" i="2"/>
  <c r="U23" i="2" s="1"/>
  <c r="J23" i="2"/>
  <c r="G23" i="2"/>
  <c r="Z22" i="2"/>
  <c r="AA22" i="2" s="1"/>
  <c r="L22" i="2"/>
  <c r="V22" i="2" s="1"/>
  <c r="K22" i="2"/>
  <c r="U22" i="2" s="1"/>
  <c r="J22" i="2"/>
  <c r="G22" i="2"/>
  <c r="N22" i="2" s="1"/>
  <c r="O22" i="2" s="1"/>
  <c r="Z21" i="2"/>
  <c r="AA21" i="2" s="1"/>
  <c r="L21" i="2"/>
  <c r="V21" i="2" s="1"/>
  <c r="K21" i="2"/>
  <c r="U21" i="2" s="1"/>
  <c r="J21" i="2"/>
  <c r="G21" i="2"/>
  <c r="N21" i="2" s="1"/>
  <c r="O21" i="2" s="1"/>
  <c r="Z20" i="2"/>
  <c r="AA20" i="2" s="1"/>
  <c r="L20" i="2"/>
  <c r="V20" i="2" s="1"/>
  <c r="K20" i="2"/>
  <c r="U20" i="2" s="1"/>
  <c r="J20" i="2"/>
  <c r="G20" i="2"/>
  <c r="M20" i="2" s="1"/>
  <c r="W20" i="2" s="1"/>
  <c r="Z19" i="2"/>
  <c r="AA19" i="2" s="1"/>
  <c r="L19" i="2"/>
  <c r="V19" i="2" s="1"/>
  <c r="K19" i="2"/>
  <c r="U19" i="2" s="1"/>
  <c r="J19" i="2"/>
  <c r="G19" i="2"/>
  <c r="Z18" i="2"/>
  <c r="AA18" i="2" s="1"/>
  <c r="L18" i="2"/>
  <c r="V18" i="2" s="1"/>
  <c r="K18" i="2"/>
  <c r="U18" i="2" s="1"/>
  <c r="J18" i="2"/>
  <c r="G18" i="2"/>
  <c r="Z17" i="2"/>
  <c r="AA17" i="2" s="1"/>
  <c r="L17" i="2"/>
  <c r="V17" i="2" s="1"/>
  <c r="K17" i="2"/>
  <c r="U17" i="2" s="1"/>
  <c r="J17" i="2"/>
  <c r="G17" i="2"/>
  <c r="N17" i="2" s="1"/>
  <c r="O17" i="2" s="1"/>
  <c r="Z16" i="2"/>
  <c r="AA16" i="2" s="1"/>
  <c r="L16" i="2"/>
  <c r="V16" i="2" s="1"/>
  <c r="K16" i="2"/>
  <c r="U16" i="2" s="1"/>
  <c r="J16" i="2"/>
  <c r="G16" i="2"/>
  <c r="N16" i="2" s="1"/>
  <c r="O16" i="2" s="1"/>
  <c r="Z15" i="2"/>
  <c r="AA15" i="2" s="1"/>
  <c r="L15" i="2"/>
  <c r="V15" i="2" s="1"/>
  <c r="K15" i="2"/>
  <c r="U15" i="2" s="1"/>
  <c r="J15" i="2"/>
  <c r="G15" i="2"/>
  <c r="N15" i="2" s="1"/>
  <c r="O15" i="2" s="1"/>
  <c r="Z14" i="2"/>
  <c r="AA14" i="2" s="1"/>
  <c r="L14" i="2"/>
  <c r="V14" i="2" s="1"/>
  <c r="K14" i="2"/>
  <c r="U14" i="2" s="1"/>
  <c r="J14" i="2"/>
  <c r="G14" i="2"/>
  <c r="N14" i="2" s="1"/>
  <c r="O14" i="2" s="1"/>
  <c r="Z13" i="2"/>
  <c r="AA13" i="2" s="1"/>
  <c r="L13" i="2"/>
  <c r="V13" i="2" s="1"/>
  <c r="K13" i="2"/>
  <c r="U13" i="2" s="1"/>
  <c r="J13" i="2"/>
  <c r="G13" i="2"/>
  <c r="N13" i="2" s="1"/>
  <c r="O13" i="2" s="1"/>
  <c r="Z12" i="2"/>
  <c r="AA12" i="2" s="1"/>
  <c r="L12" i="2"/>
  <c r="V12" i="2" s="1"/>
  <c r="K12" i="2"/>
  <c r="U12" i="2" s="1"/>
  <c r="J12" i="2"/>
  <c r="G12" i="2"/>
  <c r="N12" i="2" s="1"/>
  <c r="O12" i="2" s="1"/>
  <c r="Z11" i="2"/>
  <c r="AA11" i="2" s="1"/>
  <c r="L11" i="2"/>
  <c r="V11" i="2" s="1"/>
  <c r="K11" i="2"/>
  <c r="U11" i="2" s="1"/>
  <c r="J11" i="2"/>
  <c r="G11" i="2"/>
  <c r="Z10" i="2"/>
  <c r="AA10" i="2" s="1"/>
  <c r="L10" i="2"/>
  <c r="V10" i="2" s="1"/>
  <c r="K10" i="2"/>
  <c r="U10" i="2" s="1"/>
  <c r="J10" i="2"/>
  <c r="G10" i="2"/>
  <c r="Z9" i="2"/>
  <c r="AA9" i="2" s="1"/>
  <c r="M9" i="2"/>
  <c r="W9" i="2" s="1"/>
  <c r="L9" i="2"/>
  <c r="V9" i="2" s="1"/>
  <c r="K9" i="2"/>
  <c r="U9" i="2" s="1"/>
  <c r="J9" i="2"/>
  <c r="G9" i="2"/>
  <c r="N9" i="2" s="1"/>
  <c r="O9" i="2" s="1"/>
  <c r="Z8" i="2"/>
  <c r="AA8" i="2" s="1"/>
  <c r="L8" i="2"/>
  <c r="V8" i="2" s="1"/>
  <c r="K8" i="2"/>
  <c r="U8" i="2" s="1"/>
  <c r="J8" i="2"/>
  <c r="G8" i="2"/>
  <c r="M8" i="2" s="1"/>
  <c r="W8" i="2" s="1"/>
  <c r="Z7" i="2"/>
  <c r="AA7" i="2" s="1"/>
  <c r="L7" i="2"/>
  <c r="V7" i="2" s="1"/>
  <c r="K7" i="2"/>
  <c r="U7" i="2" s="1"/>
  <c r="J7" i="2"/>
  <c r="G7" i="2"/>
  <c r="M7" i="2" s="1"/>
  <c r="W7" i="2" s="1"/>
  <c r="Q3" i="2"/>
  <c r="P3" i="2"/>
  <c r="O3" i="2"/>
  <c r="X38" i="1"/>
  <c r="Z37" i="1"/>
  <c r="AA37" i="1" s="1"/>
  <c r="L37" i="1"/>
  <c r="V37" i="1" s="1"/>
  <c r="K37" i="1"/>
  <c r="U37" i="1" s="1"/>
  <c r="G37" i="1"/>
  <c r="N37" i="1" s="1"/>
  <c r="O37" i="1" s="1"/>
  <c r="Z36" i="1"/>
  <c r="AA36" i="1" s="1"/>
  <c r="L36" i="1"/>
  <c r="V36" i="1" s="1"/>
  <c r="K36" i="1"/>
  <c r="U36" i="1" s="1"/>
  <c r="G36" i="1"/>
  <c r="Z35" i="1"/>
  <c r="AA35" i="1" s="1"/>
  <c r="L35" i="1"/>
  <c r="V35" i="1" s="1"/>
  <c r="K35" i="1"/>
  <c r="U35" i="1" s="1"/>
  <c r="G35" i="1"/>
  <c r="N35" i="1" s="1"/>
  <c r="O35" i="1" s="1"/>
  <c r="Z34" i="1"/>
  <c r="AA34" i="1" s="1"/>
  <c r="L34" i="1"/>
  <c r="V34" i="1" s="1"/>
  <c r="K34" i="1"/>
  <c r="U34" i="1" s="1"/>
  <c r="G34" i="1"/>
  <c r="N34" i="1" s="1"/>
  <c r="O34" i="1" s="1"/>
  <c r="Z33" i="1"/>
  <c r="AA33" i="1" s="1"/>
  <c r="L33" i="1"/>
  <c r="V33" i="1" s="1"/>
  <c r="K33" i="1"/>
  <c r="U33" i="1" s="1"/>
  <c r="G33" i="1"/>
  <c r="M33" i="1" s="1"/>
  <c r="W33" i="1" s="1"/>
  <c r="Z32" i="1"/>
  <c r="AA32" i="1" s="1"/>
  <c r="L32" i="1"/>
  <c r="V32" i="1" s="1"/>
  <c r="K32" i="1"/>
  <c r="U32" i="1" s="1"/>
  <c r="G32" i="1"/>
  <c r="M32" i="1" s="1"/>
  <c r="W32" i="1" s="1"/>
  <c r="Z31" i="1"/>
  <c r="AA31" i="1" s="1"/>
  <c r="L31" i="1"/>
  <c r="V31" i="1" s="1"/>
  <c r="K31" i="1"/>
  <c r="U31" i="1" s="1"/>
  <c r="G31" i="1"/>
  <c r="N31" i="1" s="1"/>
  <c r="O31" i="1" s="1"/>
  <c r="Z30" i="1"/>
  <c r="AA30" i="1" s="1"/>
  <c r="L30" i="1"/>
  <c r="V30" i="1" s="1"/>
  <c r="K30" i="1"/>
  <c r="U30" i="1" s="1"/>
  <c r="G30" i="1"/>
  <c r="N30" i="1" s="1"/>
  <c r="O30" i="1" s="1"/>
  <c r="Z29" i="1"/>
  <c r="AA29" i="1" s="1"/>
  <c r="L29" i="1"/>
  <c r="V29" i="1" s="1"/>
  <c r="K29" i="1"/>
  <c r="U29" i="1" s="1"/>
  <c r="G29" i="1"/>
  <c r="N29" i="1" s="1"/>
  <c r="O29" i="1" s="1"/>
  <c r="Z28" i="1"/>
  <c r="AA28" i="1" s="1"/>
  <c r="L28" i="1"/>
  <c r="V28" i="1" s="1"/>
  <c r="K28" i="1"/>
  <c r="U28" i="1" s="1"/>
  <c r="G28" i="1"/>
  <c r="M28" i="1" s="1"/>
  <c r="W28" i="1" s="1"/>
  <c r="Z27" i="1"/>
  <c r="AA27" i="1" s="1"/>
  <c r="L27" i="1"/>
  <c r="V27" i="1" s="1"/>
  <c r="K27" i="1"/>
  <c r="U27" i="1" s="1"/>
  <c r="G27" i="1"/>
  <c r="N27" i="1" s="1"/>
  <c r="O27" i="1" s="1"/>
  <c r="Z26" i="1"/>
  <c r="AA26" i="1" s="1"/>
  <c r="L26" i="1"/>
  <c r="V26" i="1" s="1"/>
  <c r="K26" i="1"/>
  <c r="U26" i="1" s="1"/>
  <c r="G26" i="1"/>
  <c r="M26" i="1" s="1"/>
  <c r="W26" i="1" s="1"/>
  <c r="Z25" i="1"/>
  <c r="AA25" i="1" s="1"/>
  <c r="L25" i="1"/>
  <c r="V25" i="1" s="1"/>
  <c r="K25" i="1"/>
  <c r="U25" i="1" s="1"/>
  <c r="G25" i="1"/>
  <c r="N25" i="1" s="1"/>
  <c r="O25" i="1" s="1"/>
  <c r="Z24" i="1"/>
  <c r="AA24" i="1" s="1"/>
  <c r="L24" i="1"/>
  <c r="V24" i="1" s="1"/>
  <c r="K24" i="1"/>
  <c r="U24" i="1" s="1"/>
  <c r="G24" i="1"/>
  <c r="M24" i="1" s="1"/>
  <c r="W24" i="1" s="1"/>
  <c r="Z23" i="1"/>
  <c r="AA23" i="1" s="1"/>
  <c r="L23" i="1"/>
  <c r="V23" i="1" s="1"/>
  <c r="K23" i="1"/>
  <c r="U23" i="1" s="1"/>
  <c r="G23" i="1"/>
  <c r="Z22" i="1"/>
  <c r="AA22" i="1" s="1"/>
  <c r="L22" i="1"/>
  <c r="V22" i="1" s="1"/>
  <c r="K22" i="1"/>
  <c r="U22" i="1" s="1"/>
  <c r="G22" i="1"/>
  <c r="Z21" i="1"/>
  <c r="AA21" i="1" s="1"/>
  <c r="L21" i="1"/>
  <c r="V21" i="1" s="1"/>
  <c r="K21" i="1"/>
  <c r="U21" i="1" s="1"/>
  <c r="G21" i="1"/>
  <c r="M21" i="1" s="1"/>
  <c r="W21" i="1" s="1"/>
  <c r="Z20" i="1"/>
  <c r="AA20" i="1" s="1"/>
  <c r="L20" i="1"/>
  <c r="V20" i="1" s="1"/>
  <c r="K20" i="1"/>
  <c r="U20" i="1" s="1"/>
  <c r="G20" i="1"/>
  <c r="M20" i="1" s="1"/>
  <c r="W20" i="1" s="1"/>
  <c r="Z19" i="1"/>
  <c r="AA19" i="1" s="1"/>
  <c r="L19" i="1"/>
  <c r="V19" i="1" s="1"/>
  <c r="K19" i="1"/>
  <c r="U19" i="1" s="1"/>
  <c r="G19" i="1"/>
  <c r="N19" i="1" s="1"/>
  <c r="O19" i="1" s="1"/>
  <c r="Z18" i="1"/>
  <c r="AA18" i="1" s="1"/>
  <c r="L18" i="1"/>
  <c r="V18" i="1" s="1"/>
  <c r="K18" i="1"/>
  <c r="U18" i="1" s="1"/>
  <c r="G18" i="1"/>
  <c r="N18" i="1" s="1"/>
  <c r="O18" i="1" s="1"/>
  <c r="Z17" i="1"/>
  <c r="AA17" i="1" s="1"/>
  <c r="L17" i="1"/>
  <c r="V17" i="1" s="1"/>
  <c r="K17" i="1"/>
  <c r="U17" i="1" s="1"/>
  <c r="G17" i="1"/>
  <c r="M17" i="1" s="1"/>
  <c r="W17" i="1" s="1"/>
  <c r="Z16" i="1"/>
  <c r="AA16" i="1" s="1"/>
  <c r="L16" i="1"/>
  <c r="V16" i="1" s="1"/>
  <c r="K16" i="1"/>
  <c r="U16" i="1" s="1"/>
  <c r="G16" i="1"/>
  <c r="M16" i="1" s="1"/>
  <c r="W16" i="1" s="1"/>
  <c r="Z15" i="1"/>
  <c r="AA15" i="1" s="1"/>
  <c r="L15" i="1"/>
  <c r="V15" i="1" s="1"/>
  <c r="K15" i="1"/>
  <c r="U15" i="1" s="1"/>
  <c r="G15" i="1"/>
  <c r="N15" i="1" s="1"/>
  <c r="O15" i="1" s="1"/>
  <c r="Z14" i="1"/>
  <c r="AA14" i="1" s="1"/>
  <c r="L14" i="1"/>
  <c r="V14" i="1" s="1"/>
  <c r="K14" i="1"/>
  <c r="U14" i="1" s="1"/>
  <c r="G14" i="1"/>
  <c r="M14" i="1" s="1"/>
  <c r="W14" i="1" s="1"/>
  <c r="Z13" i="1"/>
  <c r="AA13" i="1" s="1"/>
  <c r="L13" i="1"/>
  <c r="V13" i="1" s="1"/>
  <c r="K13" i="1"/>
  <c r="U13" i="1" s="1"/>
  <c r="G13" i="1"/>
  <c r="N13" i="1" s="1"/>
  <c r="O13" i="1" s="1"/>
  <c r="Z12" i="1"/>
  <c r="AA12" i="1" s="1"/>
  <c r="L12" i="1"/>
  <c r="V12" i="1" s="1"/>
  <c r="K12" i="1"/>
  <c r="U12" i="1" s="1"/>
  <c r="G12" i="1"/>
  <c r="N12" i="1" s="1"/>
  <c r="O12" i="1" s="1"/>
  <c r="Z11" i="1"/>
  <c r="AA11" i="1" s="1"/>
  <c r="N11" i="1"/>
  <c r="O11" i="1" s="1"/>
  <c r="L11" i="1"/>
  <c r="V11" i="1" s="1"/>
  <c r="K11" i="1"/>
  <c r="U11" i="1" s="1"/>
  <c r="G11" i="1"/>
  <c r="M11" i="1" s="1"/>
  <c r="W11" i="1" s="1"/>
  <c r="Z10" i="1"/>
  <c r="AA10" i="1" s="1"/>
  <c r="L10" i="1"/>
  <c r="V10" i="1" s="1"/>
  <c r="K10" i="1"/>
  <c r="U10" i="1" s="1"/>
  <c r="G10" i="1"/>
  <c r="N10" i="1" s="1"/>
  <c r="O10" i="1" s="1"/>
  <c r="Z9" i="1"/>
  <c r="AA9" i="1" s="1"/>
  <c r="L9" i="1"/>
  <c r="V9" i="1" s="1"/>
  <c r="K9" i="1"/>
  <c r="U9" i="1" s="1"/>
  <c r="G9" i="1"/>
  <c r="M9" i="1" s="1"/>
  <c r="W9" i="1" s="1"/>
  <c r="Z8" i="1"/>
  <c r="AA8" i="1" s="1"/>
  <c r="L8" i="1"/>
  <c r="V8" i="1" s="1"/>
  <c r="K8" i="1"/>
  <c r="U8" i="1" s="1"/>
  <c r="G8" i="1"/>
  <c r="M8" i="1" s="1"/>
  <c r="W8" i="1" s="1"/>
  <c r="Z7" i="1"/>
  <c r="AA7" i="1" s="1"/>
  <c r="L7" i="1"/>
  <c r="V7" i="1" s="1"/>
  <c r="K7" i="1"/>
  <c r="U7" i="1" s="1"/>
  <c r="G7" i="1"/>
  <c r="N7" i="1" s="1"/>
  <c r="O7" i="1" s="1"/>
  <c r="Q3" i="1"/>
  <c r="P3" i="1"/>
  <c r="O3" i="1"/>
  <c r="M21" i="2" l="1"/>
  <c r="W21" i="2" s="1"/>
  <c r="T38" i="22"/>
  <c r="Y38" i="22" s="1"/>
  <c r="N14" i="1"/>
  <c r="O14" i="1" s="1"/>
  <c r="M13" i="2"/>
  <c r="W13" i="2" s="1"/>
  <c r="N20" i="2"/>
  <c r="O20" i="2" s="1"/>
  <c r="M29" i="1"/>
  <c r="W29" i="1" s="1"/>
  <c r="N31" i="2"/>
  <c r="O31" i="2" s="1"/>
  <c r="M30" i="2"/>
  <c r="W30" i="2" s="1"/>
  <c r="N24" i="1"/>
  <c r="O24" i="1" s="1"/>
  <c r="Q8" i="2"/>
  <c r="R9" i="2"/>
  <c r="M16" i="2"/>
  <c r="W16" i="2" s="1"/>
  <c r="Q20" i="2"/>
  <c r="N8" i="2"/>
  <c r="O8" i="2" s="1"/>
  <c r="M15" i="2"/>
  <c r="W15" i="2" s="1"/>
  <c r="S15" i="2" s="1"/>
  <c r="N21" i="1"/>
  <c r="O21" i="1" s="1"/>
  <c r="M35" i="1"/>
  <c r="W35" i="1" s="1"/>
  <c r="M25" i="2"/>
  <c r="W25" i="2" s="1"/>
  <c r="Q13" i="2"/>
  <c r="T38" i="19"/>
  <c r="M23" i="1"/>
  <c r="W23" i="1" s="1"/>
  <c r="N23" i="1"/>
  <c r="O23" i="1" s="1"/>
  <c r="M19" i="2"/>
  <c r="W19" i="2" s="1"/>
  <c r="S19" i="2" s="1"/>
  <c r="N19" i="2"/>
  <c r="O19" i="2" s="1"/>
  <c r="N28" i="2"/>
  <c r="O28" i="2" s="1"/>
  <c r="M28" i="2"/>
  <c r="W28" i="2" s="1"/>
  <c r="M32" i="2"/>
  <c r="W32" i="2" s="1"/>
  <c r="N32" i="2"/>
  <c r="O32" i="2" s="1"/>
  <c r="N10" i="2"/>
  <c r="O10" i="2" s="1"/>
  <c r="M10" i="2"/>
  <c r="W10" i="2" s="1"/>
  <c r="S10" i="2" s="1"/>
  <c r="M37" i="2"/>
  <c r="W37" i="2" s="1"/>
  <c r="N37" i="2"/>
  <c r="O37" i="2" s="1"/>
  <c r="N18" i="2"/>
  <c r="O18" i="2" s="1"/>
  <c r="M18" i="2"/>
  <c r="W18" i="2" s="1"/>
  <c r="N27" i="2"/>
  <c r="O27" i="2" s="1"/>
  <c r="M27" i="2"/>
  <c r="W27" i="2" s="1"/>
  <c r="S27" i="2" s="1"/>
  <c r="N11" i="2"/>
  <c r="O11" i="2" s="1"/>
  <c r="M11" i="2"/>
  <c r="W11" i="2" s="1"/>
  <c r="N22" i="1"/>
  <c r="O22" i="1" s="1"/>
  <c r="M22" i="1"/>
  <c r="W22" i="1" s="1"/>
  <c r="M36" i="1"/>
  <c r="W36" i="1" s="1"/>
  <c r="N36" i="1"/>
  <c r="O36" i="1" s="1"/>
  <c r="M36" i="2"/>
  <c r="W36" i="2" s="1"/>
  <c r="S36" i="2" s="1"/>
  <c r="N36" i="2"/>
  <c r="O36" i="2" s="1"/>
  <c r="N23" i="2"/>
  <c r="O23" i="2" s="1"/>
  <c r="M23" i="2"/>
  <c r="W23" i="2" s="1"/>
  <c r="S23" i="2" s="1"/>
  <c r="M33" i="2"/>
  <c r="W33" i="2" s="1"/>
  <c r="N17" i="1"/>
  <c r="O17" i="1" s="1"/>
  <c r="N33" i="1"/>
  <c r="O33" i="1" s="1"/>
  <c r="M22" i="2"/>
  <c r="W22" i="2" s="1"/>
  <c r="S22" i="2" s="1"/>
  <c r="N35" i="2"/>
  <c r="O35" i="2" s="1"/>
  <c r="P37" i="2"/>
  <c r="Q25" i="2"/>
  <c r="N28" i="1"/>
  <c r="O28" i="1" s="1"/>
  <c r="N26" i="1"/>
  <c r="O26" i="1" s="1"/>
  <c r="R27" i="2"/>
  <c r="R32" i="2"/>
  <c r="P13" i="2"/>
  <c r="P25" i="2"/>
  <c r="Q37" i="2"/>
  <c r="N32" i="1"/>
  <c r="O32" i="1" s="1"/>
  <c r="R35" i="1"/>
  <c r="N16" i="1"/>
  <c r="O16" i="1" s="1"/>
  <c r="N7" i="2"/>
  <c r="O7" i="2" s="1"/>
  <c r="R8" i="2"/>
  <c r="R17" i="2"/>
  <c r="P18" i="2"/>
  <c r="R20" i="2"/>
  <c r="P31" i="1"/>
  <c r="M34" i="1"/>
  <c r="W34" i="1" s="1"/>
  <c r="S34" i="1" s="1"/>
  <c r="R34" i="2"/>
  <c r="R11" i="2"/>
  <c r="R15" i="2"/>
  <c r="P30" i="2"/>
  <c r="N20" i="1"/>
  <c r="O20" i="1" s="1"/>
  <c r="P10" i="1"/>
  <c r="S16" i="1"/>
  <c r="P14" i="1"/>
  <c r="P8" i="1"/>
  <c r="P11" i="1"/>
  <c r="P13" i="1"/>
  <c r="P9" i="1"/>
  <c r="Q9" i="1"/>
  <c r="P7" i="1"/>
  <c r="Q14" i="1"/>
  <c r="N9" i="1"/>
  <c r="O9" i="1" s="1"/>
  <c r="R17" i="1"/>
  <c r="S23" i="1"/>
  <c r="R9" i="1"/>
  <c r="R13" i="1"/>
  <c r="P20" i="1"/>
  <c r="R11" i="1"/>
  <c r="R14" i="1"/>
  <c r="S8" i="1"/>
  <c r="R16" i="1"/>
  <c r="R23" i="1"/>
  <c r="Q26" i="1"/>
  <c r="Q33" i="1"/>
  <c r="R18" i="1"/>
  <c r="S28" i="1"/>
  <c r="R10" i="1"/>
  <c r="R33" i="1"/>
  <c r="S35" i="1"/>
  <c r="R8" i="1"/>
  <c r="R15" i="1"/>
  <c r="R22" i="1"/>
  <c r="P19" i="1"/>
  <c r="R28" i="1"/>
  <c r="Q21" i="1"/>
  <c r="P23" i="1"/>
  <c r="S11" i="1"/>
  <c r="R21" i="1"/>
  <c r="P26" i="1"/>
  <c r="N8" i="1"/>
  <c r="O8" i="1" s="1"/>
  <c r="M10" i="1"/>
  <c r="W10" i="1" s="1"/>
  <c r="S10" i="1" s="1"/>
  <c r="M12" i="1"/>
  <c r="W12" i="1" s="1"/>
  <c r="S12" i="1" s="1"/>
  <c r="P33" i="1"/>
  <c r="Q7" i="1"/>
  <c r="S9" i="1"/>
  <c r="P12" i="1"/>
  <c r="M15" i="1"/>
  <c r="W15" i="1" s="1"/>
  <c r="S15" i="1" s="1"/>
  <c r="Q19" i="1"/>
  <c r="S21" i="1"/>
  <c r="P24" i="1"/>
  <c r="R26" i="1"/>
  <c r="M27" i="1"/>
  <c r="W27" i="1" s="1"/>
  <c r="S27" i="1" s="1"/>
  <c r="Q31" i="1"/>
  <c r="S33" i="1"/>
  <c r="P36" i="1"/>
  <c r="S8" i="2"/>
  <c r="P11" i="2"/>
  <c r="R13" i="2"/>
  <c r="M14" i="2"/>
  <c r="W14" i="2" s="1"/>
  <c r="S14" i="2" s="1"/>
  <c r="Q18" i="2"/>
  <c r="S20" i="2"/>
  <c r="P23" i="2"/>
  <c r="R25" i="2"/>
  <c r="M26" i="2"/>
  <c r="W26" i="2" s="1"/>
  <c r="S26" i="2" s="1"/>
  <c r="Q30" i="2"/>
  <c r="S32" i="2"/>
  <c r="P35" i="2"/>
  <c r="R37" i="2"/>
  <c r="R7" i="1"/>
  <c r="Q12" i="1"/>
  <c r="S14" i="1"/>
  <c r="P17" i="1"/>
  <c r="R19" i="1"/>
  <c r="Q24" i="1"/>
  <c r="S26" i="1"/>
  <c r="P29" i="1"/>
  <c r="R31" i="1"/>
  <c r="Q36" i="1"/>
  <c r="Q11" i="2"/>
  <c r="S13" i="2"/>
  <c r="P16" i="2"/>
  <c r="R18" i="2"/>
  <c r="Q23" i="2"/>
  <c r="S25" i="2"/>
  <c r="P28" i="2"/>
  <c r="R30" i="2"/>
  <c r="Q35" i="2"/>
  <c r="S37" i="2"/>
  <c r="R12" i="1"/>
  <c r="M13" i="1"/>
  <c r="W13" i="1" s="1"/>
  <c r="S13" i="1" s="1"/>
  <c r="Q17" i="1"/>
  <c r="P22" i="1"/>
  <c r="R24" i="1"/>
  <c r="M25" i="1"/>
  <c r="W25" i="1" s="1"/>
  <c r="S25" i="1" s="1"/>
  <c r="Q29" i="1"/>
  <c r="P34" i="1"/>
  <c r="R36" i="1"/>
  <c r="M37" i="1"/>
  <c r="W37" i="1" s="1"/>
  <c r="S37" i="1" s="1"/>
  <c r="P9" i="2"/>
  <c r="M12" i="2"/>
  <c r="W12" i="2" s="1"/>
  <c r="S12" i="2" s="1"/>
  <c r="Q16" i="2"/>
  <c r="S18" i="2"/>
  <c r="P21" i="2"/>
  <c r="R23" i="2"/>
  <c r="M24" i="2"/>
  <c r="W24" i="2" s="1"/>
  <c r="S24" i="2" s="1"/>
  <c r="Q28" i="2"/>
  <c r="S30" i="2"/>
  <c r="P33" i="2"/>
  <c r="R35" i="2"/>
  <c r="Q10" i="1"/>
  <c r="P15" i="1"/>
  <c r="M18" i="1"/>
  <c r="W18" i="1" s="1"/>
  <c r="S18" i="1" s="1"/>
  <c r="Q22" i="1"/>
  <c r="S24" i="1"/>
  <c r="P27" i="1"/>
  <c r="R29" i="1"/>
  <c r="M30" i="1"/>
  <c r="W30" i="1" s="1"/>
  <c r="S30" i="1" s="1"/>
  <c r="Q34" i="1"/>
  <c r="S36" i="1"/>
  <c r="Q9" i="2"/>
  <c r="S11" i="2"/>
  <c r="P14" i="2"/>
  <c r="R16" i="2"/>
  <c r="M17" i="2"/>
  <c r="W17" i="2" s="1"/>
  <c r="S17" i="2" s="1"/>
  <c r="Q21" i="2"/>
  <c r="P26" i="2"/>
  <c r="R28" i="2"/>
  <c r="M29" i="2"/>
  <c r="W29" i="2" s="1"/>
  <c r="S29" i="2" s="1"/>
  <c r="Q33" i="2"/>
  <c r="S35" i="2"/>
  <c r="Q15" i="1"/>
  <c r="S17" i="1"/>
  <c r="Q27" i="1"/>
  <c r="S29" i="1"/>
  <c r="P32" i="1"/>
  <c r="R34" i="1"/>
  <c r="P7" i="2"/>
  <c r="Q14" i="2"/>
  <c r="S16" i="2"/>
  <c r="P19" i="2"/>
  <c r="R21" i="2"/>
  <c r="Q26" i="2"/>
  <c r="S28" i="2"/>
  <c r="P31" i="2"/>
  <c r="R33" i="2"/>
  <c r="M34" i="2"/>
  <c r="W34" i="2" s="1"/>
  <c r="S34" i="2" s="1"/>
  <c r="Q20" i="1"/>
  <c r="S22" i="1"/>
  <c r="P25" i="1"/>
  <c r="R27" i="1"/>
  <c r="Q32" i="1"/>
  <c r="P37" i="1"/>
  <c r="Q7" i="2"/>
  <c r="S9" i="2"/>
  <c r="P12" i="2"/>
  <c r="R14" i="2"/>
  <c r="Q19" i="2"/>
  <c r="S21" i="2"/>
  <c r="P24" i="2"/>
  <c r="R26" i="2"/>
  <c r="Q31" i="2"/>
  <c r="S33" i="2"/>
  <c r="P36" i="2"/>
  <c r="Q8" i="1"/>
  <c r="Q13" i="1"/>
  <c r="P18" i="1"/>
  <c r="R20" i="1"/>
  <c r="Q25" i="1"/>
  <c r="P30" i="1"/>
  <c r="R32" i="1"/>
  <c r="Q37" i="1"/>
  <c r="R7" i="2"/>
  <c r="Q12" i="2"/>
  <c r="P17" i="2"/>
  <c r="R19" i="2"/>
  <c r="Q24" i="2"/>
  <c r="P29" i="2"/>
  <c r="R31" i="2"/>
  <c r="Q36" i="2"/>
  <c r="Q18" i="1"/>
  <c r="S20" i="1"/>
  <c r="R25" i="1"/>
  <c r="Q30" i="1"/>
  <c r="S32" i="1"/>
  <c r="P35" i="1"/>
  <c r="R37" i="1"/>
  <c r="S7" i="2"/>
  <c r="P10" i="2"/>
  <c r="R12" i="2"/>
  <c r="Q17" i="2"/>
  <c r="P22" i="2"/>
  <c r="R24" i="2"/>
  <c r="Q29" i="2"/>
  <c r="S31" i="2"/>
  <c r="P34" i="2"/>
  <c r="R36" i="2"/>
  <c r="M7" i="1"/>
  <c r="W7" i="1" s="1"/>
  <c r="S7" i="1" s="1"/>
  <c r="Q11" i="1"/>
  <c r="P16" i="1"/>
  <c r="M19" i="1"/>
  <c r="W19" i="1" s="1"/>
  <c r="S19" i="1" s="1"/>
  <c r="Q23" i="1"/>
  <c r="P28" i="1"/>
  <c r="R30" i="1"/>
  <c r="M31" i="1"/>
  <c r="W31" i="1" s="1"/>
  <c r="S31" i="1" s="1"/>
  <c r="Q35" i="1"/>
  <c r="Q10" i="2"/>
  <c r="P15" i="2"/>
  <c r="Q22" i="2"/>
  <c r="P27" i="2"/>
  <c r="R29" i="2"/>
  <c r="Q34" i="2"/>
  <c r="Q16" i="1"/>
  <c r="P21" i="1"/>
  <c r="Q28" i="1"/>
  <c r="P8" i="2"/>
  <c r="R10" i="2"/>
  <c r="Q15" i="2"/>
  <c r="P20" i="2"/>
  <c r="R22" i="2"/>
  <c r="Q27" i="2"/>
  <c r="P32" i="2"/>
  <c r="Q32" i="2"/>
  <c r="T27" i="2" l="1"/>
  <c r="T29" i="2"/>
  <c r="T13" i="2"/>
  <c r="T28" i="2"/>
  <c r="T26" i="2"/>
  <c r="T10" i="2"/>
  <c r="T14" i="1"/>
  <c r="T31" i="1"/>
  <c r="T37" i="2"/>
  <c r="T7" i="2"/>
  <c r="T31" i="2"/>
  <c r="T15" i="2"/>
  <c r="T22" i="2"/>
  <c r="T9" i="2"/>
  <c r="T12" i="2"/>
  <c r="T11" i="1"/>
  <c r="T34" i="2"/>
  <c r="T30" i="2"/>
  <c r="T19" i="1"/>
  <c r="T22" i="1"/>
  <c r="T25" i="1"/>
  <c r="T9" i="1"/>
  <c r="T8" i="1"/>
  <c r="T35" i="1"/>
  <c r="T33" i="1"/>
  <c r="T12" i="1"/>
  <c r="T30" i="1"/>
  <c r="T28" i="1"/>
  <c r="T23" i="1"/>
  <c r="T26" i="1"/>
  <c r="T16" i="1"/>
  <c r="T37" i="1"/>
  <c r="T17" i="1"/>
  <c r="T7" i="1"/>
  <c r="T10" i="1"/>
  <c r="T13" i="1"/>
  <c r="T32" i="1"/>
  <c r="T34" i="1"/>
  <c r="T29" i="1"/>
  <c r="T32" i="2"/>
  <c r="T15" i="1"/>
  <c r="T11" i="2"/>
  <c r="T18" i="1"/>
  <c r="T14" i="2"/>
  <c r="T35" i="2"/>
  <c r="T36" i="1"/>
  <c r="T36" i="2"/>
  <c r="T20" i="2"/>
  <c r="T21" i="1"/>
  <c r="T20" i="1"/>
  <c r="T33" i="2"/>
  <c r="T16" i="2"/>
  <c r="T25" i="2"/>
  <c r="T19" i="2"/>
  <c r="T23" i="2"/>
  <c r="T24" i="1"/>
  <c r="T17" i="2"/>
  <c r="T24" i="2"/>
  <c r="T27" i="1"/>
  <c r="T18" i="2"/>
  <c r="T21" i="2"/>
  <c r="T8" i="2"/>
  <c r="T38" i="2" l="1"/>
  <c r="Y38" i="2" s="1"/>
  <c r="T38" i="1"/>
  <c r="Y38" i="1" s="1"/>
</calcChain>
</file>

<file path=xl/sharedStrings.xml><?xml version="1.0" encoding="utf-8"?>
<sst xmlns="http://schemas.openxmlformats.org/spreadsheetml/2006/main" count="417" uniqueCount="92">
  <si>
    <t>↓↓↓↓</t>
  </si>
  <si>
    <t xml:space="preserve">  ◄   INPUT BASIC MONTHLY SALARY HERE</t>
  </si>
  <si>
    <t>BASIC ►</t>
  </si>
  <si>
    <t>neg-₱TOTAL</t>
  </si>
  <si>
    <t>AUTOMATIC  CALCULATIONS</t>
  </si>
  <si>
    <t>(MANUAL)</t>
  </si>
  <si>
    <t>Automatic</t>
  </si>
  <si>
    <t>REMARKS</t>
  </si>
  <si>
    <t>ALSO UNDERTIME OR</t>
  </si>
  <si>
    <t>VARIABLE</t>
  </si>
  <si>
    <t>PER/DAY</t>
  </si>
  <si>
    <t>PER/MIN</t>
  </si>
  <si>
    <t>PER/HOUR</t>
  </si>
  <si>
    <t>AUTOMATIC</t>
  </si>
  <si>
    <t>DEDUCTIONS</t>
  </si>
  <si>
    <t>AUTO</t>
  </si>
  <si>
    <t>CA ADV.+</t>
  </si>
  <si>
    <t>TOTAL</t>
  </si>
  <si>
    <t>MO/YR</t>
  </si>
  <si>
    <t>AM</t>
  </si>
  <si>
    <t>PM</t>
  </si>
  <si>
    <t>ABSENT</t>
  </si>
  <si>
    <t>OT</t>
  </si>
  <si>
    <t>HALFDAY</t>
  </si>
  <si>
    <t>TOT.WORK</t>
  </si>
  <si>
    <t>(in mins)</t>
  </si>
  <si>
    <t>(in hours)</t>
  </si>
  <si>
    <t>(in day)</t>
  </si>
  <si>
    <t>(ABSENT)</t>
  </si>
  <si>
    <t>LATE/MIN</t>
  </si>
  <si>
    <t>UNDERTM</t>
  </si>
  <si>
    <t>MINUS OT</t>
  </si>
  <si>
    <t>COPY</t>
  </si>
  <si>
    <t>GOV'T.</t>
  </si>
  <si>
    <t>NET</t>
  </si>
  <si>
    <t>DATE</t>
  </si>
  <si>
    <t>IN</t>
  </si>
  <si>
    <t>OUT</t>
  </si>
  <si>
    <t>Column</t>
  </si>
  <si>
    <t>HOURS</t>
  </si>
  <si>
    <t>LATE</t>
  </si>
  <si>
    <t>DEDUCT</t>
  </si>
  <si>
    <t>PAYMENT</t>
  </si>
  <si>
    <t>(OT PAY)</t>
  </si>
  <si>
    <t>LATE/min</t>
  </si>
  <si>
    <t>UNDERTIME</t>
  </si>
  <si>
    <t>BENEFITS</t>
  </si>
  <si>
    <t>SALARY</t>
  </si>
  <si>
    <t>F1*</t>
  </si>
  <si>
    <t>F2*</t>
  </si>
  <si>
    <t>Rremarks</t>
  </si>
  <si>
    <t>NOTE: THIS IS A 24 HOUR TIME FORMAT ENTRY (12:00 AM TO 23:59 PM)</t>
  </si>
  <si>
    <t>LEGEND: FOR 26 DAYS A MONTH COMPUTATION</t>
  </si>
  <si>
    <t>LATE BETWEEN 7:36 AM TO 7:45 AM</t>
  </si>
  <si>
    <t>LATE MORE THAN 7:46 AM</t>
  </si>
  <si>
    <t>OT MORE THAN 5:30 PM</t>
  </si>
  <si>
    <t xml:space="preserve">K3 = </t>
  </si>
  <si>
    <t>5 MINUTES ALLOWANCE TO REPORTING TIME IN THE MORNING (7:30 AM)</t>
  </si>
  <si>
    <t xml:space="preserve">K4 = </t>
  </si>
  <si>
    <t>START OF COUNTING LATE IN MINUTES</t>
  </si>
  <si>
    <t>S3 =</t>
  </si>
  <si>
    <t>10 MINUTES ALLOWABLE LETE CONSIDERATION TIME</t>
  </si>
  <si>
    <t>S4 =</t>
  </si>
  <si>
    <t>15 MINUTES ALLOWABLE LATE CONSIDERATION TIME</t>
  </si>
  <si>
    <t>L4 =</t>
  </si>
  <si>
    <t>TIME ALLOWANCE ADJUSTMENT AFTER 5:00 PM</t>
  </si>
  <si>
    <t xml:space="preserve">L3 = </t>
  </si>
  <si>
    <t>OUT IN THE AFTERNOON (CLOSING TIME)</t>
  </si>
  <si>
    <t>J4 =</t>
  </si>
  <si>
    <t>30 MINUTES ALLOWANCE TIME FOR LATE TIMINGS</t>
  </si>
  <si>
    <t>(J3) =</t>
  </si>
  <si>
    <t>ALLOWANCE TIMING FOR OT TO BE COUNTED (ESP. FOR LATE TIME-IN)</t>
  </si>
  <si>
    <t>NOTE:</t>
  </si>
  <si>
    <t>YOU MAY CHANGE TIMINGS OF DUTY DEPENDING IN YOUR COMPANY POLICIES AND DUTY CONSIDERATIONS</t>
  </si>
  <si>
    <t>CHANGES IN DUTY TIMINGS IN RESPECTED CELLS MAY ALSO CAUSE TO ALTER AUTOMATIC COMPUTATION; PLEASE CHECK MANUALLY THE COMPUTATIONS.</t>
  </si>
  <si>
    <t>FORMULA FOR ALL CELLS (BLACK FILL HIGHLIGHTS) WILL ONLY FOLLOW DEPENDING IN THE CHANGE OF TIME INPUT.</t>
  </si>
  <si>
    <t>LEGEND: FOR 30 DAYS A MONTH COMPUTATION</t>
  </si>
  <si>
    <t>DTR CALCULATOR</t>
  </si>
  <si>
    <t>THE BIG FIVE TRAINING AND ASSESSMENT CENTER INC.</t>
  </si>
  <si>
    <t>EMPLOYEE NAME: STAFF</t>
  </si>
  <si>
    <t>EMPLOYEE NAME: FREEDOM</t>
  </si>
  <si>
    <t>EMPLOYEE NAME HERE: SAMPLE</t>
  </si>
  <si>
    <t>TB5</t>
  </si>
  <si>
    <t>SSS</t>
  </si>
  <si>
    <t>PAGIBIG</t>
  </si>
  <si>
    <t>PHILHEALTH</t>
  </si>
  <si>
    <t>Gross</t>
  </si>
  <si>
    <t>No. of Trainings</t>
  </si>
  <si>
    <t>Days Office</t>
  </si>
  <si>
    <t>Total cost Trainings</t>
  </si>
  <si>
    <t>Oct. 13-27, 2025</t>
  </si>
  <si>
    <t>CA OCT. 23,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</si>
</sst>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[$-409]h:mm\ AM/PM"/>
    <numFmt numFmtId="165" formatCode="[$₱-3409]#,##0"/>
    <numFmt numFmtId="166" formatCode="0.0000"/>
    <numFmt numFmtId="167" formatCode="0.0;[Red]&quot;-&quot;;"/>
    <numFmt numFmtId="168" formatCode="0;[Red]&quot;-&quot;;"/>
    <numFmt numFmtId="169" formatCode="0.0000;\-;"/>
    <numFmt numFmtId="170" formatCode="0;.;"/>
    <numFmt numFmtId="171" formatCode="[$₱-3409]#,##0.00"/>
    <numFmt numFmtId="172" formatCode="0.00;0;"/>
    <numFmt numFmtId="173" formatCode="\₱0.00_);[Red]\(&quot;neg-&quot;\₱#,##0.00\);"/>
    <numFmt numFmtId="174" formatCode="_-* #,##0_-;\-* #,##0_-;_-* &quot;-&quot;_-;_-@"/>
    <numFmt numFmtId="175" formatCode="_-* #,##0.0_-;\-* #,##0.0_-;_-* &quot;-&quot;?_-;_-@"/>
    <numFmt numFmtId="176" formatCode="0.00;;"/>
    <numFmt numFmtId="177" formatCode="0;0;"/>
  </numFmts>
  <fonts count="4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FF0000"/>
      <name val="Arial Black"/>
      <family val="2"/>
    </font>
    <font>
      <u/>
      <sz val="12"/>
      <color theme="10"/>
      <name val="Calibri"/>
      <family val="2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u/>
      <sz val="12"/>
      <color theme="10"/>
      <name val="Calibri"/>
      <family val="2"/>
    </font>
    <font>
      <u/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2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6"/>
      <color theme="3" tint="0.249977111117893"/>
      <name val="Arial Black"/>
      <family val="2"/>
    </font>
    <font>
      <sz val="11"/>
      <color theme="3" tint="0.249977111117893"/>
      <name val="Calibri"/>
      <family val="2"/>
      <scheme val="minor"/>
    </font>
    <font>
      <u/>
      <sz val="12"/>
      <color theme="5" tint="-0.249977111117893"/>
      <name val="Calibri"/>
      <family val="2"/>
    </font>
    <font>
      <sz val="11"/>
      <color theme="5" tint="-0.249977111117893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EAEAEA"/>
        <bgColor rgb="FFEAEAEA"/>
      </patternFill>
    </fill>
    <fill>
      <patternFill patternType="solid">
        <fgColor theme="1"/>
        <bgColor theme="1"/>
      </patternFill>
    </fill>
    <fill>
      <patternFill patternType="solid">
        <fgColor rgb="FF5F497A"/>
        <bgColor rgb="FF5F497A"/>
      </patternFill>
    </fill>
    <fill>
      <patternFill patternType="solid">
        <fgColor rgb="FF00B050"/>
        <bgColor rgb="FF00B050"/>
      </patternFill>
    </fill>
    <fill>
      <patternFill patternType="solid">
        <fgColor rgb="FF3399FF"/>
        <bgColor rgb="FF3399FF"/>
      </patternFill>
    </fill>
    <fill>
      <patternFill patternType="solid">
        <fgColor rgb="FFFFFF00"/>
        <bgColor rgb="FFFFFF00"/>
      </patternFill>
    </fill>
    <fill>
      <patternFill patternType="solid">
        <fgColor rgb="FF7F7F7F"/>
        <bgColor rgb="FF7F7F7F"/>
      </patternFill>
    </fill>
    <fill>
      <patternFill patternType="solid">
        <fgColor rgb="FFFFC000"/>
        <bgColor rgb="FFFFC000"/>
      </patternFill>
    </fill>
    <fill>
      <patternFill patternType="solid">
        <fgColor rgb="FFE6B9B8"/>
        <bgColor rgb="FFE6B9B8"/>
      </patternFill>
    </fill>
    <fill>
      <patternFill patternType="solid">
        <fgColor rgb="FFE5B8B7"/>
        <bgColor rgb="FFE5B8B7"/>
      </patternFill>
    </fill>
    <fill>
      <patternFill patternType="solid">
        <fgColor rgb="FFD99594"/>
        <bgColor rgb="FFD99594"/>
      </patternFill>
    </fill>
    <fill>
      <patternFill patternType="solid">
        <fgColor theme="2" tint="-0.14999847407452621"/>
        <bgColor rgb="FFFF9900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2" tint="-0.249977111117893"/>
        <bgColor rgb="FFFFFF00"/>
      </patternFill>
    </fill>
    <fill>
      <patternFill patternType="solid">
        <fgColor theme="2" tint="-0.34998626667073579"/>
        <bgColor rgb="FFFFFF00"/>
      </patternFill>
    </fill>
    <fill>
      <patternFill patternType="solid">
        <fgColor theme="8" tint="0.59999389629810485"/>
        <bgColor rgb="FF00B050"/>
      </patternFill>
    </fill>
    <fill>
      <patternFill patternType="solid">
        <fgColor theme="9" tint="0.39997558519241921"/>
        <bgColor rgb="FF3399FF"/>
      </patternFill>
    </fill>
    <fill>
      <patternFill patternType="solid">
        <fgColor theme="1" tint="0.499984740745262"/>
        <bgColor rgb="FF7F7F7F"/>
      </patternFill>
    </fill>
    <fill>
      <patternFill patternType="solid">
        <fgColor theme="4" tint="0.59999389629810485"/>
        <bgColor rgb="FF00B050"/>
      </patternFill>
    </fill>
    <fill>
      <patternFill patternType="solid">
        <fgColor theme="9" tint="0.79998168889431442"/>
        <bgColor rgb="FFE6B9B8"/>
      </patternFill>
    </fill>
    <fill>
      <patternFill patternType="solid">
        <fgColor theme="9" tint="0.79998168889431442"/>
        <bgColor rgb="FFE5B8B7"/>
      </patternFill>
    </fill>
    <fill>
      <patternFill patternType="solid">
        <fgColor theme="2" tint="-0.34998626667073579"/>
        <bgColor rgb="FFFFC000"/>
      </patternFill>
    </fill>
    <fill>
      <patternFill patternType="solid">
        <fgColor theme="2" tint="-0.34998626667073579"/>
        <bgColor theme="1"/>
      </patternFill>
    </fill>
    <fill>
      <patternFill patternType="solid">
        <fgColor theme="2" tint="-0.249977111117893"/>
        <bgColor theme="1"/>
      </patternFill>
    </fill>
    <fill>
      <patternFill patternType="solid">
        <fgColor theme="2" tint="-0.34998626667073579"/>
        <bgColor rgb="FFEAEAEA"/>
      </patternFill>
    </fill>
    <fill>
      <patternFill patternType="solid">
        <fgColor theme="2" tint="-0.34998626667073579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43" fontId="36" fillId="0" borderId="0" applyFont="0" applyFill="0" applyBorder="0" applyAlignment="0" applyProtection="0"/>
  </cellStyleXfs>
  <cellXfs count="139">
    <xf numFmtId="0" fontId="0" fillId="0" borderId="0" xfId="0"/>
    <xf numFmtId="0" fontId="9" fillId="0" borderId="0" xfId="0" applyFont="1"/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164" fontId="16" fillId="0" borderId="0" xfId="0" applyNumberFormat="1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165" fontId="17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4" borderId="4" xfId="0" applyFont="1" applyFill="1" applyBorder="1"/>
    <xf numFmtId="0" fontId="13" fillId="4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17" fillId="4" borderId="4" xfId="0" applyFont="1" applyFill="1" applyBorder="1" applyAlignment="1">
      <alignment horizontal="center" vertical="center"/>
    </xf>
    <xf numFmtId="0" fontId="0" fillId="5" borderId="4" xfId="0" applyFill="1" applyBorder="1"/>
    <xf numFmtId="0" fontId="13" fillId="6" borderId="4" xfId="0" applyFont="1" applyFill="1" applyBorder="1"/>
    <xf numFmtId="0" fontId="0" fillId="7" borderId="4" xfId="0" applyFill="1" applyBorder="1"/>
    <xf numFmtId="164" fontId="13" fillId="0" borderId="0" xfId="0" applyNumberFormat="1" applyFont="1" applyAlignment="1">
      <alignment horizontal="center" vertical="center"/>
    </xf>
    <xf numFmtId="18" fontId="16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" fontId="17" fillId="8" borderId="4" xfId="0" applyNumberFormat="1" applyFont="1" applyFill="1" applyBorder="1" applyAlignment="1">
      <alignment horizontal="center" vertical="center"/>
    </xf>
    <xf numFmtId="49" fontId="24" fillId="6" borderId="4" xfId="0" applyNumberFormat="1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5" fillId="4" borderId="4" xfId="0" applyFont="1" applyFill="1" applyBorder="1" applyAlignment="1">
      <alignment horizontal="center" vertical="center"/>
    </xf>
    <xf numFmtId="0" fontId="26" fillId="4" borderId="4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9" borderId="4" xfId="0" applyFont="1" applyFill="1" applyBorder="1" applyAlignment="1">
      <alignment horizontal="center" vertical="center"/>
    </xf>
    <xf numFmtId="0" fontId="27" fillId="4" borderId="4" xfId="0" applyFont="1" applyFill="1" applyBorder="1" applyAlignment="1">
      <alignment horizontal="center" vertical="center"/>
    </xf>
    <xf numFmtId="0" fontId="17" fillId="4" borderId="4" xfId="0" applyFont="1" applyFill="1" applyBorder="1"/>
    <xf numFmtId="164" fontId="0" fillId="0" borderId="0" xfId="0" applyNumberForma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164" fontId="13" fillId="4" borderId="4" xfId="0" applyNumberFormat="1" applyFont="1" applyFill="1" applyBorder="1" applyAlignment="1">
      <alignment horizontal="center" vertical="center"/>
    </xf>
    <xf numFmtId="167" fontId="29" fillId="4" borderId="4" xfId="0" applyNumberFormat="1" applyFont="1" applyFill="1" applyBorder="1" applyAlignment="1">
      <alignment horizontal="center" vertical="center"/>
    </xf>
    <xf numFmtId="168" fontId="29" fillId="4" borderId="4" xfId="0" applyNumberFormat="1" applyFont="1" applyFill="1" applyBorder="1" applyAlignment="1">
      <alignment horizontal="center" vertical="center"/>
    </xf>
    <xf numFmtId="167" fontId="18" fillId="4" borderId="4" xfId="0" applyNumberFormat="1" applyFont="1" applyFill="1" applyBorder="1" applyAlignment="1">
      <alignment horizontal="center" vertical="center"/>
    </xf>
    <xf numFmtId="169" fontId="18" fillId="4" borderId="4" xfId="0" applyNumberFormat="1" applyFont="1" applyFill="1" applyBorder="1" applyAlignment="1">
      <alignment horizontal="center" vertical="center"/>
    </xf>
    <xf numFmtId="170" fontId="17" fillId="4" borderId="4" xfId="0" applyNumberFormat="1" applyFont="1" applyFill="1" applyBorder="1" applyAlignment="1">
      <alignment horizontal="center" vertical="center"/>
    </xf>
    <xf numFmtId="171" fontId="18" fillId="4" borderId="4" xfId="0" applyNumberFormat="1" applyFont="1" applyFill="1" applyBorder="1" applyAlignment="1">
      <alignment horizontal="center" vertical="center"/>
    </xf>
    <xf numFmtId="172" fontId="18" fillId="4" borderId="4" xfId="0" applyNumberFormat="1" applyFont="1" applyFill="1" applyBorder="1" applyAlignment="1">
      <alignment horizontal="center" vertical="center"/>
    </xf>
    <xf numFmtId="173" fontId="13" fillId="3" borderId="4" xfId="0" applyNumberFormat="1" applyFont="1" applyFill="1" applyBorder="1" applyAlignment="1">
      <alignment horizontal="center" vertical="center"/>
    </xf>
    <xf numFmtId="174" fontId="18" fillId="4" borderId="4" xfId="0" applyNumberFormat="1" applyFont="1" applyFill="1" applyBorder="1" applyAlignment="1">
      <alignment horizontal="center" vertical="center"/>
    </xf>
    <xf numFmtId="175" fontId="18" fillId="4" borderId="4" xfId="0" applyNumberFormat="1" applyFont="1" applyFill="1" applyBorder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177" fontId="13" fillId="4" borderId="4" xfId="0" applyNumberFormat="1" applyFont="1" applyFill="1" applyBorder="1" applyAlignment="1">
      <alignment horizontal="center"/>
    </xf>
    <xf numFmtId="1" fontId="16" fillId="0" borderId="0" xfId="0" applyNumberFormat="1" applyFont="1"/>
    <xf numFmtId="164" fontId="30" fillId="0" borderId="0" xfId="0" applyNumberFormat="1" applyFont="1" applyAlignment="1">
      <alignment horizontal="center" vertical="center"/>
    </xf>
    <xf numFmtId="1" fontId="0" fillId="0" borderId="0" xfId="0" applyNumberFormat="1"/>
    <xf numFmtId="164" fontId="31" fillId="0" borderId="0" xfId="0" applyNumberFormat="1" applyFont="1" applyAlignment="1">
      <alignment horizontal="center" vertical="center"/>
    </xf>
    <xf numFmtId="0" fontId="29" fillId="4" borderId="4" xfId="0" applyFont="1" applyFill="1" applyBorder="1" applyAlignment="1">
      <alignment horizontal="left" vertical="center"/>
    </xf>
    <xf numFmtId="0" fontId="32" fillId="4" borderId="4" xfId="0" applyFont="1" applyFill="1" applyBorder="1"/>
    <xf numFmtId="173" fontId="16" fillId="8" borderId="4" xfId="0" applyNumberFormat="1" applyFont="1" applyFill="1" applyBorder="1" applyAlignment="1">
      <alignment horizontal="center" vertical="center"/>
    </xf>
    <xf numFmtId="176" fontId="17" fillId="4" borderId="4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13" fillId="8" borderId="4" xfId="0" applyFont="1" applyFill="1" applyBorder="1" applyAlignment="1">
      <alignment horizontal="left" vertical="center"/>
    </xf>
    <xf numFmtId="0" fontId="0" fillId="8" borderId="4" xfId="0" applyFill="1" applyBorder="1"/>
    <xf numFmtId="0" fontId="17" fillId="4" borderId="4" xfId="0" applyFont="1" applyFill="1" applyBorder="1" applyAlignment="1">
      <alignment horizontal="left" vertical="center"/>
    </xf>
    <xf numFmtId="0" fontId="13" fillId="13" borderId="4" xfId="0" applyFont="1" applyFill="1" applyBorder="1"/>
    <xf numFmtId="0" fontId="0" fillId="13" borderId="4" xfId="0" applyFill="1" applyBorder="1"/>
    <xf numFmtId="0" fontId="18" fillId="4" borderId="4" xfId="0" applyFont="1" applyFill="1" applyBorder="1" applyAlignment="1">
      <alignment horizontal="left" vertical="center"/>
    </xf>
    <xf numFmtId="18" fontId="13" fillId="0" borderId="0" xfId="0" applyNumberFormat="1" applyFont="1"/>
    <xf numFmtId="0" fontId="13" fillId="0" borderId="0" xfId="0" applyFont="1"/>
    <xf numFmtId="0" fontId="16" fillId="0" borderId="0" xfId="0" applyFont="1" applyAlignment="1">
      <alignment horizontal="left" vertical="center"/>
    </xf>
    <xf numFmtId="171" fontId="11" fillId="0" borderId="0" xfId="0" applyNumberFormat="1" applyFont="1" applyAlignment="1">
      <alignment horizontal="center" vertical="center"/>
    </xf>
    <xf numFmtId="171" fontId="0" fillId="0" borderId="0" xfId="0" applyNumberFormat="1"/>
    <xf numFmtId="164" fontId="8" fillId="0" borderId="0" xfId="0" applyNumberFormat="1" applyFont="1" applyAlignment="1">
      <alignment horizontal="center" vertical="center"/>
    </xf>
    <xf numFmtId="1" fontId="7" fillId="0" borderId="0" xfId="0" applyNumberFormat="1" applyFont="1"/>
    <xf numFmtId="0" fontId="0" fillId="0" borderId="0" xfId="0" applyAlignment="1">
      <alignment horizontal="center"/>
    </xf>
    <xf numFmtId="43" fontId="0" fillId="0" borderId="0" xfId="1" applyFont="1"/>
    <xf numFmtId="0" fontId="7" fillId="0" borderId="0" xfId="0" applyFont="1"/>
    <xf numFmtId="43" fontId="0" fillId="0" borderId="0" xfId="1" applyFont="1" applyAlignment="1">
      <alignment horizont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1" fillId="0" borderId="0" xfId="0" applyNumberFormat="1" applyFont="1"/>
    <xf numFmtId="0" fontId="10" fillId="0" borderId="0" xfId="0" applyFont="1" applyAlignment="1">
      <alignment horizontal="center"/>
    </xf>
    <xf numFmtId="0" fontId="0" fillId="0" borderId="0" xfId="0"/>
    <xf numFmtId="49" fontId="14" fillId="2" borderId="1" xfId="0" applyNumberFormat="1" applyFont="1" applyFill="1" applyBorder="1" applyAlignment="1">
      <alignment horizontal="left" vertical="center" wrapText="1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7" fillId="4" borderId="1" xfId="0" applyFont="1" applyFill="1" applyBorder="1" applyAlignment="1">
      <alignment horizontal="center" vertical="center"/>
    </xf>
    <xf numFmtId="0" fontId="15" fillId="0" borderId="2" xfId="0" applyFont="1" applyBorder="1"/>
    <xf numFmtId="0" fontId="15" fillId="0" borderId="3" xfId="0" applyFont="1" applyBorder="1"/>
    <xf numFmtId="49" fontId="19" fillId="0" borderId="0" xfId="0" applyNumberFormat="1" applyFont="1" applyAlignment="1">
      <alignment horizontal="center" vertical="center"/>
    </xf>
    <xf numFmtId="173" fontId="33" fillId="8" borderId="1" xfId="0" applyNumberFormat="1" applyFont="1" applyFill="1" applyBorder="1" applyAlignment="1">
      <alignment horizontal="center" wrapText="1"/>
    </xf>
    <xf numFmtId="0" fontId="35" fillId="0" borderId="0" xfId="0" applyFont="1" applyAlignment="1">
      <alignment horizontal="left" vertical="center"/>
    </xf>
    <xf numFmtId="49" fontId="14" fillId="2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37" fillId="0" borderId="0" xfId="0" applyFont="1"/>
    <xf numFmtId="49" fontId="14" fillId="14" borderId="1" xfId="0" applyNumberFormat="1" applyFont="1" applyFill="1" applyBorder="1" applyAlignment="1">
      <alignment horizontal="left" vertical="center" wrapText="1"/>
    </xf>
    <xf numFmtId="0" fontId="15" fillId="15" borderId="2" xfId="0" applyFont="1" applyFill="1" applyBorder="1" applyAlignment="1">
      <alignment horizontal="left"/>
    </xf>
    <xf numFmtId="0" fontId="15" fillId="15" borderId="3" xfId="0" applyFont="1" applyFill="1" applyBorder="1" applyAlignment="1">
      <alignment horizontal="left"/>
    </xf>
    <xf numFmtId="49" fontId="24" fillId="18" borderId="4" xfId="0" applyNumberFormat="1" applyFont="1" applyFill="1" applyBorder="1" applyAlignment="1">
      <alignment horizontal="center" vertical="center"/>
    </xf>
    <xf numFmtId="17" fontId="13" fillId="16" borderId="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40" fillId="0" borderId="0" xfId="0" applyFont="1"/>
    <xf numFmtId="0" fontId="13" fillId="19" borderId="4" xfId="0" applyFont="1" applyFill="1" applyBorder="1" applyAlignment="1">
      <alignment horizontal="center" vertical="center"/>
    </xf>
    <xf numFmtId="0" fontId="13" fillId="21" borderId="4" xfId="0" applyFont="1" applyFill="1" applyBorder="1"/>
    <xf numFmtId="0" fontId="0" fillId="19" borderId="4" xfId="0" applyFill="1" applyBorder="1"/>
    <xf numFmtId="0" fontId="24" fillId="22" borderId="4" xfId="0" applyFont="1" applyFill="1" applyBorder="1" applyAlignment="1">
      <alignment horizontal="center" vertical="center"/>
    </xf>
    <xf numFmtId="0" fontId="24" fillId="23" borderId="4" xfId="0" applyFont="1" applyFill="1" applyBorder="1" applyAlignment="1">
      <alignment horizontal="center" vertical="center"/>
    </xf>
    <xf numFmtId="0" fontId="24" fillId="24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25" fillId="25" borderId="4" xfId="0" applyFont="1" applyFill="1" applyBorder="1" applyAlignment="1">
      <alignment horizontal="center" vertical="center"/>
    </xf>
    <xf numFmtId="0" fontId="26" fillId="25" borderId="4" xfId="0" applyFont="1" applyFill="1" applyBorder="1" applyAlignment="1">
      <alignment horizontal="center" vertical="center"/>
    </xf>
    <xf numFmtId="0" fontId="13" fillId="27" borderId="4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15" fillId="28" borderId="2" xfId="0" applyFont="1" applyFill="1" applyBorder="1"/>
    <xf numFmtId="0" fontId="15" fillId="28" borderId="3" xfId="0" applyFont="1" applyFill="1" applyBorder="1"/>
    <xf numFmtId="0" fontId="18" fillId="25" borderId="4" xfId="0" applyFont="1" applyFill="1" applyBorder="1"/>
    <xf numFmtId="0" fontId="13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27" fillId="25" borderId="4" xfId="0" applyFont="1" applyFill="1" applyBorder="1" applyAlignment="1">
      <alignment horizontal="center" vertical="center"/>
    </xf>
    <xf numFmtId="0" fontId="17" fillId="25" borderId="4" xfId="0" applyFont="1" applyFill="1" applyBorder="1"/>
    <xf numFmtId="173" fontId="16" fillId="17" borderId="4" xfId="0" applyNumberFormat="1" applyFont="1" applyFill="1" applyBorder="1" applyAlignment="1">
      <alignment horizontal="center" vertical="center"/>
    </xf>
    <xf numFmtId="173" fontId="33" fillId="17" borderId="1" xfId="0" applyNumberFormat="1" applyFont="1" applyFill="1" applyBorder="1" applyAlignment="1">
      <alignment horizontal="center" wrapText="1"/>
    </xf>
    <xf numFmtId="176" fontId="17" fillId="25" borderId="4" xfId="0" applyNumberFormat="1" applyFont="1" applyFill="1" applyBorder="1" applyAlignment="1">
      <alignment horizontal="center" vertical="center"/>
    </xf>
    <xf numFmtId="0" fontId="13" fillId="17" borderId="4" xfId="0" applyFont="1" applyFill="1" applyBorder="1" applyAlignment="1">
      <alignment horizontal="left" vertical="center"/>
    </xf>
    <xf numFmtId="0" fontId="0" fillId="17" borderId="4" xfId="0" applyFill="1" applyBorder="1"/>
    <xf numFmtId="0" fontId="17" fillId="26" borderId="4" xfId="0" applyFont="1" applyFill="1" applyBorder="1" applyAlignment="1">
      <alignment horizontal="left" vertical="center"/>
    </xf>
    <xf numFmtId="0" fontId="17" fillId="26" borderId="4" xfId="0" applyFont="1" applyFill="1" applyBorder="1"/>
    <xf numFmtId="0" fontId="18" fillId="20" borderId="4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74"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ill>
        <patternFill patternType="solid">
          <fgColor rgb="FFE5B8B7"/>
          <bgColor rgb="FFE5B8B7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ill>
        <patternFill patternType="solid">
          <fgColor rgb="FFE5B8B7"/>
          <bgColor rgb="FFE5B8B7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ill>
        <patternFill patternType="solid">
          <fgColor rgb="FFE5B8B7"/>
          <bgColor rgb="FFE5B8B7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</font>
      <fill>
        <patternFill patternType="solid">
          <fgColor rgb="FFFFFF00"/>
          <bgColor rgb="FFFFFF00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ill>
        <patternFill patternType="solid">
          <fgColor rgb="FFE5B8B7"/>
          <bgColor rgb="FFE5B8B7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0"/>
  <sheetViews>
    <sheetView workbookViewId="0">
      <selection activeCell="O3" sqref="O3"/>
    </sheetView>
  </sheetViews>
  <sheetFormatPr defaultColWidth="14.44140625" defaultRowHeight="15" customHeight="1" x14ac:dyDescent="0.3"/>
  <cols>
    <col min="1" max="1" width="7.33203125" customWidth="1"/>
    <col min="2" max="2" width="10.5546875" customWidth="1"/>
    <col min="3" max="4" width="11.44140625" customWidth="1"/>
    <col min="5" max="5" width="9.88671875" customWidth="1"/>
    <col min="6" max="6" width="7.88671875" customWidth="1"/>
    <col min="7" max="7" width="9.5546875" customWidth="1"/>
    <col min="8" max="9" width="9.88671875" customWidth="1"/>
    <col min="10" max="10" width="10.6640625" bestFit="1" customWidth="1"/>
    <col min="11" max="11" width="9.6640625" customWidth="1"/>
    <col min="12" max="13" width="9.109375" customWidth="1"/>
    <col min="14" max="14" width="9.44140625" customWidth="1"/>
    <col min="15" max="19" width="9.109375" customWidth="1"/>
    <col min="20" max="20" width="15" customWidth="1"/>
    <col min="21" max="23" width="9.109375" customWidth="1"/>
    <col min="24" max="25" width="10.109375" customWidth="1"/>
    <col min="26" max="26" width="4" customWidth="1"/>
    <col min="27" max="27" width="3.88671875" customWidth="1"/>
    <col min="28" max="28" width="14.44140625" customWidth="1"/>
    <col min="29" max="29" width="5.88671875" customWidth="1"/>
  </cols>
  <sheetData>
    <row r="1" spans="1:29" ht="25.2" x14ac:dyDescent="0.6">
      <c r="A1" s="1" t="s">
        <v>77</v>
      </c>
    </row>
    <row r="2" spans="1:29" ht="15.6" x14ac:dyDescent="0.3">
      <c r="A2" s="89"/>
      <c r="B2" s="90"/>
      <c r="C2" s="90"/>
      <c r="D2" s="90"/>
      <c r="E2" s="90"/>
      <c r="F2" s="90"/>
      <c r="G2" s="90"/>
      <c r="H2" s="2"/>
      <c r="N2" s="3" t="s">
        <v>0</v>
      </c>
      <c r="O2" s="4" t="s">
        <v>1</v>
      </c>
      <c r="P2" s="4"/>
      <c r="Q2" s="4"/>
      <c r="R2" s="4"/>
      <c r="S2" s="4"/>
    </row>
    <row r="3" spans="1:29" ht="14.4" x14ac:dyDescent="0.3">
      <c r="A3" s="91" t="s">
        <v>79</v>
      </c>
      <c r="B3" s="92"/>
      <c r="C3" s="92"/>
      <c r="D3" s="92"/>
      <c r="E3" s="92"/>
      <c r="F3" s="92"/>
      <c r="G3" s="92"/>
      <c r="H3" s="92"/>
      <c r="I3" s="93"/>
      <c r="J3" s="5">
        <v>0.72986111111111107</v>
      </c>
      <c r="K3" s="6">
        <v>0.33680555555555558</v>
      </c>
      <c r="L3" s="6">
        <v>0.70833333333333337</v>
      </c>
      <c r="M3" s="7" t="s">
        <v>2</v>
      </c>
      <c r="N3" s="8">
        <v>10000</v>
      </c>
      <c r="O3" s="9">
        <f>$N$3/26</f>
        <v>384.61538461538464</v>
      </c>
      <c r="P3" s="10">
        <f>($N$3/26)/8</f>
        <v>48.07692307692308</v>
      </c>
      <c r="Q3" s="11">
        <f>($N$3/26)/480</f>
        <v>0.80128205128205132</v>
      </c>
      <c r="R3" s="12">
        <v>0.5</v>
      </c>
      <c r="S3" s="5">
        <v>0.34027777777777773</v>
      </c>
      <c r="T3" s="13" t="s">
        <v>3</v>
      </c>
      <c r="U3" s="94" t="s">
        <v>4</v>
      </c>
      <c r="V3" s="95"/>
      <c r="W3" s="96"/>
      <c r="X3" s="14" t="s">
        <v>5</v>
      </c>
      <c r="Y3" s="15" t="s">
        <v>6</v>
      </c>
      <c r="Z3" s="16"/>
      <c r="AA3" s="17"/>
      <c r="AB3" s="18" t="s">
        <v>7</v>
      </c>
      <c r="AC3" s="19"/>
    </row>
    <row r="4" spans="1:29" ht="15.6" x14ac:dyDescent="0.3">
      <c r="A4" s="97" t="s">
        <v>78</v>
      </c>
      <c r="B4" s="90"/>
      <c r="C4" s="90"/>
      <c r="D4" s="90"/>
      <c r="E4" s="90"/>
      <c r="F4" s="90"/>
      <c r="G4" s="90"/>
      <c r="H4" s="20" t="s">
        <v>8</v>
      </c>
      <c r="I4" s="21"/>
      <c r="J4" s="22">
        <v>0.72916666666666663</v>
      </c>
      <c r="K4" s="5">
        <v>0.33749999999999997</v>
      </c>
      <c r="L4" s="23">
        <v>0.3444444444444445</v>
      </c>
      <c r="N4" s="24" t="s">
        <v>9</v>
      </c>
      <c r="O4" s="25" t="s">
        <v>10</v>
      </c>
      <c r="P4" s="25" t="s">
        <v>11</v>
      </c>
      <c r="Q4" s="26" t="s">
        <v>12</v>
      </c>
      <c r="R4" s="27" t="s">
        <v>13</v>
      </c>
      <c r="S4" s="23">
        <v>0.34375</v>
      </c>
      <c r="T4" s="13" t="s">
        <v>14</v>
      </c>
      <c r="U4" s="14" t="s">
        <v>15</v>
      </c>
      <c r="V4" s="14" t="s">
        <v>15</v>
      </c>
      <c r="W4" s="14" t="s">
        <v>15</v>
      </c>
      <c r="X4" s="14" t="s">
        <v>16</v>
      </c>
      <c r="Y4" s="14" t="s">
        <v>17</v>
      </c>
      <c r="Z4" s="16"/>
      <c r="AA4" s="17"/>
      <c r="AB4" s="17"/>
      <c r="AC4" s="19"/>
    </row>
    <row r="5" spans="1:29" ht="14.4" x14ac:dyDescent="0.3">
      <c r="A5" s="28" t="s">
        <v>18</v>
      </c>
      <c r="B5" s="29" t="s">
        <v>19</v>
      </c>
      <c r="C5" s="29" t="s">
        <v>19</v>
      </c>
      <c r="D5" s="30" t="s">
        <v>20</v>
      </c>
      <c r="E5" s="30" t="s">
        <v>20</v>
      </c>
      <c r="F5" s="31" t="s">
        <v>21</v>
      </c>
      <c r="G5" s="32" t="s">
        <v>22</v>
      </c>
      <c r="H5" s="33" t="s">
        <v>23</v>
      </c>
      <c r="I5" s="34" t="s">
        <v>23</v>
      </c>
      <c r="J5" s="14" t="s">
        <v>24</v>
      </c>
      <c r="K5" s="14" t="s">
        <v>25</v>
      </c>
      <c r="L5" s="14" t="s">
        <v>26</v>
      </c>
      <c r="M5" s="14" t="s">
        <v>26</v>
      </c>
      <c r="N5" s="14" t="s">
        <v>27</v>
      </c>
      <c r="O5" s="35" t="s">
        <v>28</v>
      </c>
      <c r="P5" s="35" t="s">
        <v>29</v>
      </c>
      <c r="Q5" s="35" t="s">
        <v>30</v>
      </c>
      <c r="R5" s="36" t="s">
        <v>23</v>
      </c>
      <c r="S5" s="35" t="s">
        <v>22</v>
      </c>
      <c r="T5" s="13" t="s">
        <v>31</v>
      </c>
      <c r="U5" s="14" t="s">
        <v>32</v>
      </c>
      <c r="V5" s="14" t="s">
        <v>32</v>
      </c>
      <c r="W5" s="14" t="s">
        <v>32</v>
      </c>
      <c r="X5" s="14" t="s">
        <v>33</v>
      </c>
      <c r="Y5" s="14" t="s">
        <v>34</v>
      </c>
      <c r="Z5" s="16"/>
      <c r="AA5" s="17"/>
      <c r="AB5" s="17"/>
      <c r="AC5" s="19"/>
    </row>
    <row r="6" spans="1:29" ht="14.4" x14ac:dyDescent="0.3">
      <c r="A6" s="37" t="s">
        <v>35</v>
      </c>
      <c r="B6" s="37" t="s">
        <v>36</v>
      </c>
      <c r="C6" s="37" t="s">
        <v>37</v>
      </c>
      <c r="D6" s="37" t="s">
        <v>36</v>
      </c>
      <c r="E6" s="37" t="s">
        <v>37</v>
      </c>
      <c r="F6" s="38" t="s">
        <v>38</v>
      </c>
      <c r="G6" s="18" t="s">
        <v>37</v>
      </c>
      <c r="H6" s="37" t="s">
        <v>36</v>
      </c>
      <c r="I6" s="37" t="s">
        <v>37</v>
      </c>
      <c r="J6" s="14" t="s">
        <v>39</v>
      </c>
      <c r="K6" s="14" t="s">
        <v>40</v>
      </c>
      <c r="L6" s="14" t="s">
        <v>30</v>
      </c>
      <c r="M6" s="14" t="s">
        <v>22</v>
      </c>
      <c r="N6" s="14" t="s">
        <v>21</v>
      </c>
      <c r="O6" s="14" t="s">
        <v>41</v>
      </c>
      <c r="P6" s="14" t="s">
        <v>41</v>
      </c>
      <c r="Q6" s="14" t="s">
        <v>41</v>
      </c>
      <c r="R6" s="14" t="s">
        <v>41</v>
      </c>
      <c r="S6" s="14" t="s">
        <v>42</v>
      </c>
      <c r="T6" s="13" t="s">
        <v>43</v>
      </c>
      <c r="U6" s="14" t="s">
        <v>44</v>
      </c>
      <c r="V6" s="39" t="s">
        <v>45</v>
      </c>
      <c r="W6" s="14" t="s">
        <v>22</v>
      </c>
      <c r="X6" s="14" t="s">
        <v>46</v>
      </c>
      <c r="Y6" s="14" t="s">
        <v>47</v>
      </c>
      <c r="Z6" s="14" t="s">
        <v>48</v>
      </c>
      <c r="AA6" s="40" t="s">
        <v>49</v>
      </c>
      <c r="AB6" s="17" t="s">
        <v>50</v>
      </c>
      <c r="AC6" s="19"/>
    </row>
    <row r="7" spans="1:29" ht="14.4" x14ac:dyDescent="0.3">
      <c r="A7" s="12">
        <v>1</v>
      </c>
      <c r="B7" s="41">
        <v>0.34166666666666662</v>
      </c>
      <c r="C7" s="41"/>
      <c r="D7" s="41"/>
      <c r="E7" s="41">
        <v>0.70833333333333337</v>
      </c>
      <c r="F7" s="42"/>
      <c r="G7" s="43" t="str">
        <f t="shared" ref="G7:G37" si="0">IF(E7&gt;$J$4,E7,"")</f>
        <v/>
      </c>
      <c r="H7" s="41"/>
      <c r="I7" s="41"/>
      <c r="J7" s="44">
        <f>(MOD(E7-B7,1)*24)-1</f>
        <v>7.8000000000000025</v>
      </c>
      <c r="K7" s="45">
        <f t="shared" ref="K7:K37" si="1">(MOD(B7-$K$3,1)*1440)</f>
        <v>6.9999999999998952</v>
      </c>
      <c r="L7" s="46">
        <f t="shared" ref="L7:L37" si="2">MOD($L$3-E7,1)*24</f>
        <v>0</v>
      </c>
      <c r="M7" s="47" t="e">
        <f t="shared" ref="M7:M37" si="3">((MOD(G7-$L$3,1)*24)+(IF(B7&lt;$S$3,"+0.00","-0.5")))-(IF(G7&lt;$J$3,"-0.5","0"))</f>
        <v>#VALUE!</v>
      </c>
      <c r="N7" s="48">
        <f t="shared" ref="N7:N37" si="4">COUNTIF(B7:H7,"ABSENT")</f>
        <v>0</v>
      </c>
      <c r="O7" s="49">
        <f t="shared" ref="O7:O37" si="5">($N$3/26)*N7</f>
        <v>0</v>
      </c>
      <c r="P7" s="49">
        <f t="shared" ref="P7:P37" si="6">$Q$3*U7</f>
        <v>5.6089743589742751</v>
      </c>
      <c r="Q7" s="49">
        <f t="shared" ref="Q7:Q37" si="7">$P$3*V7</f>
        <v>0</v>
      </c>
      <c r="R7" s="50">
        <f t="shared" ref="R7:R37" si="8">($O$3*AA7)-(MOD(I7-H7,1)*24.29)*$P$3</f>
        <v>0</v>
      </c>
      <c r="S7" s="49">
        <f t="shared" ref="S7:S37" si="9">($P$3*W7)*125%</f>
        <v>0</v>
      </c>
      <c r="T7" s="51">
        <f t="shared" ref="T7:T37" si="10">S7-SUM(O7:R7)</f>
        <v>-5.6089743589742751</v>
      </c>
      <c r="U7" s="52">
        <f t="shared" ref="U7:U37" si="11">IF(AND(K7&gt;499,K7&gt;=271),0,IF(K7&lt;=270,K7,0))</f>
        <v>6.9999999999998952</v>
      </c>
      <c r="V7" s="53">
        <f t="shared" ref="V7:V37" si="12">IF(AND(L7&gt;17,L7&gt;=17),0,IF(L7&lt;=15,L7,0))</f>
        <v>0</v>
      </c>
      <c r="W7" s="47">
        <f t="shared" ref="W7:W37" si="13">IFERROR(M7*1,0)</f>
        <v>0</v>
      </c>
      <c r="X7" s="54"/>
      <c r="Y7" s="17"/>
      <c r="Z7" s="55">
        <f t="shared" ref="Z7:Z37" si="14">COUNTBLANK(I7)</f>
        <v>1</v>
      </c>
      <c r="AA7" s="55">
        <f t="shared" ref="AA7:AA37" si="15">COUNTIF(Z7,"0")</f>
        <v>0</v>
      </c>
      <c r="AB7" s="56"/>
      <c r="AC7" s="19"/>
    </row>
    <row r="8" spans="1:29" ht="15.6" x14ac:dyDescent="0.3">
      <c r="A8" s="12">
        <v>2</v>
      </c>
      <c r="B8" s="41">
        <v>0.33333333333333331</v>
      </c>
      <c r="C8" s="41"/>
      <c r="D8" s="41"/>
      <c r="E8" s="41">
        <v>0.70833333333333337</v>
      </c>
      <c r="F8" s="42"/>
      <c r="G8" s="43" t="str">
        <f t="shared" si="0"/>
        <v/>
      </c>
      <c r="H8" s="41"/>
      <c r="I8" s="57"/>
      <c r="J8" s="44">
        <f t="shared" ref="J8:J37" si="16">(MOD(E8-B8,1)*24)-1</f>
        <v>8.0000000000000018</v>
      </c>
      <c r="K8" s="45">
        <f t="shared" si="1"/>
        <v>1434.9999999999998</v>
      </c>
      <c r="L8" s="46">
        <f t="shared" si="2"/>
        <v>0</v>
      </c>
      <c r="M8" s="47" t="e">
        <f t="shared" si="3"/>
        <v>#VALUE!</v>
      </c>
      <c r="N8" s="48">
        <f t="shared" si="4"/>
        <v>0</v>
      </c>
      <c r="O8" s="49">
        <f t="shared" si="5"/>
        <v>0</v>
      </c>
      <c r="P8" s="49">
        <f t="shared" si="6"/>
        <v>0</v>
      </c>
      <c r="Q8" s="49">
        <f t="shared" si="7"/>
        <v>0</v>
      </c>
      <c r="R8" s="50">
        <f t="shared" si="8"/>
        <v>0</v>
      </c>
      <c r="S8" s="49">
        <f t="shared" si="9"/>
        <v>0</v>
      </c>
      <c r="T8" s="51">
        <f t="shared" si="10"/>
        <v>0</v>
      </c>
      <c r="U8" s="52">
        <f t="shared" si="11"/>
        <v>0</v>
      </c>
      <c r="V8" s="53">
        <f t="shared" si="12"/>
        <v>0</v>
      </c>
      <c r="W8" s="47">
        <f t="shared" si="13"/>
        <v>0</v>
      </c>
      <c r="X8" s="54"/>
      <c r="Y8" s="17"/>
      <c r="Z8" s="55">
        <f t="shared" si="14"/>
        <v>1</v>
      </c>
      <c r="AA8" s="55">
        <f t="shared" si="15"/>
        <v>0</v>
      </c>
      <c r="AB8" s="58"/>
      <c r="AC8" s="19"/>
    </row>
    <row r="9" spans="1:29" ht="14.4" x14ac:dyDescent="0.3">
      <c r="A9" s="12">
        <v>3</v>
      </c>
      <c r="B9" s="41">
        <v>0.33333333333333331</v>
      </c>
      <c r="C9" s="41"/>
      <c r="D9" s="41"/>
      <c r="E9" s="41">
        <v>0.70833333333333337</v>
      </c>
      <c r="F9" s="42"/>
      <c r="G9" s="43" t="str">
        <f t="shared" si="0"/>
        <v/>
      </c>
      <c r="H9" s="41"/>
      <c r="I9" s="41"/>
      <c r="J9" s="44">
        <f t="shared" si="16"/>
        <v>8.0000000000000018</v>
      </c>
      <c r="K9" s="45">
        <f t="shared" si="1"/>
        <v>1434.9999999999998</v>
      </c>
      <c r="L9" s="46">
        <f t="shared" si="2"/>
        <v>0</v>
      </c>
      <c r="M9" s="47" t="e">
        <f t="shared" si="3"/>
        <v>#VALUE!</v>
      </c>
      <c r="N9" s="48">
        <f t="shared" si="4"/>
        <v>0</v>
      </c>
      <c r="O9" s="49">
        <f t="shared" si="5"/>
        <v>0</v>
      </c>
      <c r="P9" s="49">
        <f t="shared" si="6"/>
        <v>0</v>
      </c>
      <c r="Q9" s="49">
        <f t="shared" si="7"/>
        <v>0</v>
      </c>
      <c r="R9" s="50">
        <f t="shared" si="8"/>
        <v>0</v>
      </c>
      <c r="S9" s="49">
        <f t="shared" si="9"/>
        <v>0</v>
      </c>
      <c r="T9" s="51">
        <f t="shared" si="10"/>
        <v>0</v>
      </c>
      <c r="U9" s="52">
        <f t="shared" si="11"/>
        <v>0</v>
      </c>
      <c r="V9" s="53">
        <f t="shared" si="12"/>
        <v>0</v>
      </c>
      <c r="W9" s="47">
        <f t="shared" si="13"/>
        <v>0</v>
      </c>
      <c r="X9" s="54"/>
      <c r="Y9" s="17"/>
      <c r="Z9" s="55">
        <f t="shared" si="14"/>
        <v>1</v>
      </c>
      <c r="AA9" s="55">
        <f t="shared" si="15"/>
        <v>0</v>
      </c>
      <c r="AB9" s="58"/>
      <c r="AC9" s="19"/>
    </row>
    <row r="10" spans="1:29" ht="14.4" x14ac:dyDescent="0.3">
      <c r="A10" s="12">
        <v>4</v>
      </c>
      <c r="B10" s="41">
        <v>0.33333333333333331</v>
      </c>
      <c r="C10" s="41"/>
      <c r="D10" s="41"/>
      <c r="E10" s="41">
        <v>0.70833333333333337</v>
      </c>
      <c r="F10" s="42"/>
      <c r="G10" s="43" t="str">
        <f t="shared" si="0"/>
        <v/>
      </c>
      <c r="H10" s="42"/>
      <c r="I10" s="42"/>
      <c r="J10" s="44">
        <f t="shared" si="16"/>
        <v>8.0000000000000018</v>
      </c>
      <c r="K10" s="45">
        <f t="shared" si="1"/>
        <v>1434.9999999999998</v>
      </c>
      <c r="L10" s="46">
        <f t="shared" si="2"/>
        <v>0</v>
      </c>
      <c r="M10" s="47" t="e">
        <f t="shared" si="3"/>
        <v>#VALUE!</v>
      </c>
      <c r="N10" s="48">
        <f t="shared" si="4"/>
        <v>0</v>
      </c>
      <c r="O10" s="49">
        <f t="shared" si="5"/>
        <v>0</v>
      </c>
      <c r="P10" s="49">
        <f t="shared" si="6"/>
        <v>0</v>
      </c>
      <c r="Q10" s="49">
        <f t="shared" si="7"/>
        <v>0</v>
      </c>
      <c r="R10" s="50">
        <f t="shared" si="8"/>
        <v>0</v>
      </c>
      <c r="S10" s="49">
        <f t="shared" si="9"/>
        <v>0</v>
      </c>
      <c r="T10" s="51">
        <f t="shared" si="10"/>
        <v>0</v>
      </c>
      <c r="U10" s="52">
        <f t="shared" si="11"/>
        <v>0</v>
      </c>
      <c r="V10" s="53">
        <f t="shared" si="12"/>
        <v>0</v>
      </c>
      <c r="W10" s="47">
        <f t="shared" si="13"/>
        <v>0</v>
      </c>
      <c r="X10" s="54"/>
      <c r="Y10" s="17"/>
      <c r="Z10" s="55">
        <f t="shared" si="14"/>
        <v>1</v>
      </c>
      <c r="AA10" s="55">
        <f t="shared" si="15"/>
        <v>0</v>
      </c>
      <c r="AB10" s="58"/>
      <c r="AC10" s="19"/>
    </row>
    <row r="11" spans="1:29" ht="14.4" x14ac:dyDescent="0.3">
      <c r="A11" s="12">
        <v>5</v>
      </c>
      <c r="B11" s="41">
        <v>0.33333333333333331</v>
      </c>
      <c r="C11" s="41"/>
      <c r="D11" s="41"/>
      <c r="E11" s="41">
        <v>0.70833333333333337</v>
      </c>
      <c r="F11" s="42"/>
      <c r="G11" s="43" t="str">
        <f t="shared" si="0"/>
        <v/>
      </c>
      <c r="H11" s="41"/>
      <c r="I11" s="41"/>
      <c r="J11" s="44">
        <f t="shared" si="16"/>
        <v>8.0000000000000018</v>
      </c>
      <c r="K11" s="45">
        <f t="shared" si="1"/>
        <v>1434.9999999999998</v>
      </c>
      <c r="L11" s="46">
        <f t="shared" si="2"/>
        <v>0</v>
      </c>
      <c r="M11" s="47" t="e">
        <f t="shared" si="3"/>
        <v>#VALUE!</v>
      </c>
      <c r="N11" s="48">
        <f t="shared" si="4"/>
        <v>0</v>
      </c>
      <c r="O11" s="49">
        <f t="shared" si="5"/>
        <v>0</v>
      </c>
      <c r="P11" s="49">
        <f t="shared" si="6"/>
        <v>0</v>
      </c>
      <c r="Q11" s="49">
        <f t="shared" si="7"/>
        <v>0</v>
      </c>
      <c r="R11" s="50">
        <f t="shared" si="8"/>
        <v>0</v>
      </c>
      <c r="S11" s="49">
        <f t="shared" si="9"/>
        <v>0</v>
      </c>
      <c r="T11" s="51">
        <f t="shared" si="10"/>
        <v>0</v>
      </c>
      <c r="U11" s="52">
        <f t="shared" si="11"/>
        <v>0</v>
      </c>
      <c r="V11" s="53">
        <f t="shared" si="12"/>
        <v>0</v>
      </c>
      <c r="W11" s="47">
        <f t="shared" si="13"/>
        <v>0</v>
      </c>
      <c r="X11" s="54"/>
      <c r="Y11" s="17"/>
      <c r="Z11" s="55">
        <f t="shared" si="14"/>
        <v>1</v>
      </c>
      <c r="AA11" s="55">
        <f t="shared" si="15"/>
        <v>0</v>
      </c>
      <c r="AB11" s="58"/>
      <c r="AC11" s="19"/>
    </row>
    <row r="12" spans="1:29" ht="14.4" x14ac:dyDescent="0.3">
      <c r="A12" s="12">
        <v>6</v>
      </c>
      <c r="B12" s="41"/>
      <c r="C12" s="41"/>
      <c r="D12" s="41"/>
      <c r="E12" s="41"/>
      <c r="F12" s="42"/>
      <c r="G12" s="43" t="str">
        <f t="shared" si="0"/>
        <v/>
      </c>
      <c r="H12" s="41"/>
      <c r="I12" s="41"/>
      <c r="J12" s="44">
        <f t="shared" si="16"/>
        <v>-1</v>
      </c>
      <c r="K12" s="45">
        <f t="shared" si="1"/>
        <v>955</v>
      </c>
      <c r="L12" s="46">
        <f t="shared" si="2"/>
        <v>17</v>
      </c>
      <c r="M12" s="47" t="e">
        <f t="shared" si="3"/>
        <v>#VALUE!</v>
      </c>
      <c r="N12" s="48">
        <f t="shared" si="4"/>
        <v>0</v>
      </c>
      <c r="O12" s="49">
        <f t="shared" si="5"/>
        <v>0</v>
      </c>
      <c r="P12" s="49">
        <f t="shared" si="6"/>
        <v>0</v>
      </c>
      <c r="Q12" s="49">
        <f t="shared" si="7"/>
        <v>0</v>
      </c>
      <c r="R12" s="50">
        <f t="shared" si="8"/>
        <v>0</v>
      </c>
      <c r="S12" s="49">
        <f t="shared" si="9"/>
        <v>0</v>
      </c>
      <c r="T12" s="51">
        <f t="shared" si="10"/>
        <v>0</v>
      </c>
      <c r="U12" s="52">
        <f t="shared" si="11"/>
        <v>0</v>
      </c>
      <c r="V12" s="53">
        <f t="shared" si="12"/>
        <v>0</v>
      </c>
      <c r="W12" s="47">
        <f t="shared" si="13"/>
        <v>0</v>
      </c>
      <c r="X12" s="54"/>
      <c r="Y12" s="17"/>
      <c r="Z12" s="55">
        <f t="shared" si="14"/>
        <v>1</v>
      </c>
      <c r="AA12" s="55">
        <f t="shared" si="15"/>
        <v>0</v>
      </c>
      <c r="AB12" s="58"/>
      <c r="AC12" s="19"/>
    </row>
    <row r="13" spans="1:29" ht="14.4" x14ac:dyDescent="0.3">
      <c r="A13" s="12">
        <v>7</v>
      </c>
      <c r="B13" s="41">
        <v>0.33333333333333331</v>
      </c>
      <c r="C13" s="41"/>
      <c r="D13" s="41"/>
      <c r="E13" s="41">
        <v>0.70833333333333337</v>
      </c>
      <c r="F13" s="42"/>
      <c r="G13" s="43" t="str">
        <f t="shared" si="0"/>
        <v/>
      </c>
      <c r="H13" s="41"/>
      <c r="I13" s="41"/>
      <c r="J13" s="44">
        <f t="shared" si="16"/>
        <v>8.0000000000000018</v>
      </c>
      <c r="K13" s="45">
        <f t="shared" si="1"/>
        <v>1434.9999999999998</v>
      </c>
      <c r="L13" s="46">
        <f t="shared" si="2"/>
        <v>0</v>
      </c>
      <c r="M13" s="47" t="e">
        <f t="shared" si="3"/>
        <v>#VALUE!</v>
      </c>
      <c r="N13" s="48">
        <f t="shared" si="4"/>
        <v>0</v>
      </c>
      <c r="O13" s="49">
        <f t="shared" si="5"/>
        <v>0</v>
      </c>
      <c r="P13" s="49">
        <f t="shared" si="6"/>
        <v>0</v>
      </c>
      <c r="Q13" s="49">
        <f t="shared" si="7"/>
        <v>0</v>
      </c>
      <c r="R13" s="50">
        <f t="shared" si="8"/>
        <v>0</v>
      </c>
      <c r="S13" s="49">
        <f t="shared" si="9"/>
        <v>0</v>
      </c>
      <c r="T13" s="51">
        <f t="shared" si="10"/>
        <v>0</v>
      </c>
      <c r="U13" s="52">
        <f t="shared" si="11"/>
        <v>0</v>
      </c>
      <c r="V13" s="53">
        <f t="shared" si="12"/>
        <v>0</v>
      </c>
      <c r="W13" s="47">
        <f t="shared" si="13"/>
        <v>0</v>
      </c>
      <c r="X13" s="54"/>
      <c r="Y13" s="17"/>
      <c r="Z13" s="55">
        <f t="shared" si="14"/>
        <v>1</v>
      </c>
      <c r="AA13" s="55">
        <f t="shared" si="15"/>
        <v>0</v>
      </c>
      <c r="AB13" s="58"/>
      <c r="AC13" s="19"/>
    </row>
    <row r="14" spans="1:29" ht="14.4" x14ac:dyDescent="0.3">
      <c r="A14" s="12">
        <v>8</v>
      </c>
      <c r="B14" s="41">
        <v>0.33333333333333331</v>
      </c>
      <c r="C14" s="41"/>
      <c r="D14" s="41"/>
      <c r="E14" s="41">
        <v>0.70833333333333337</v>
      </c>
      <c r="F14" s="42"/>
      <c r="G14" s="43" t="str">
        <f t="shared" si="0"/>
        <v/>
      </c>
      <c r="H14" s="41"/>
      <c r="I14" s="41"/>
      <c r="J14" s="44">
        <f t="shared" si="16"/>
        <v>8.0000000000000018</v>
      </c>
      <c r="K14" s="45">
        <f t="shared" si="1"/>
        <v>1434.9999999999998</v>
      </c>
      <c r="L14" s="46">
        <f t="shared" si="2"/>
        <v>0</v>
      </c>
      <c r="M14" s="47" t="e">
        <f t="shared" si="3"/>
        <v>#VALUE!</v>
      </c>
      <c r="N14" s="48">
        <f t="shared" si="4"/>
        <v>0</v>
      </c>
      <c r="O14" s="49">
        <f t="shared" si="5"/>
        <v>0</v>
      </c>
      <c r="P14" s="49">
        <f t="shared" si="6"/>
        <v>0</v>
      </c>
      <c r="Q14" s="49">
        <f t="shared" si="7"/>
        <v>0</v>
      </c>
      <c r="R14" s="50">
        <f t="shared" si="8"/>
        <v>0</v>
      </c>
      <c r="S14" s="49">
        <f t="shared" si="9"/>
        <v>0</v>
      </c>
      <c r="T14" s="51">
        <f t="shared" si="10"/>
        <v>0</v>
      </c>
      <c r="U14" s="52">
        <f t="shared" si="11"/>
        <v>0</v>
      </c>
      <c r="V14" s="53">
        <f t="shared" si="12"/>
        <v>0</v>
      </c>
      <c r="W14" s="47">
        <f t="shared" si="13"/>
        <v>0</v>
      </c>
      <c r="X14" s="54"/>
      <c r="Y14" s="17"/>
      <c r="Z14" s="55">
        <f t="shared" si="14"/>
        <v>1</v>
      </c>
      <c r="AA14" s="55">
        <f t="shared" si="15"/>
        <v>0</v>
      </c>
      <c r="AB14" s="58"/>
      <c r="AC14" s="19"/>
    </row>
    <row r="15" spans="1:29" ht="14.4" x14ac:dyDescent="0.3">
      <c r="A15" s="12">
        <v>9</v>
      </c>
      <c r="B15" s="41">
        <v>0.33333333333333331</v>
      </c>
      <c r="C15" s="41"/>
      <c r="D15" s="41"/>
      <c r="E15" s="41">
        <v>0.70833333333333337</v>
      </c>
      <c r="F15" s="42"/>
      <c r="G15" s="43" t="str">
        <f t="shared" si="0"/>
        <v/>
      </c>
      <c r="H15" s="41"/>
      <c r="I15" s="41"/>
      <c r="J15" s="44">
        <f t="shared" si="16"/>
        <v>8.0000000000000018</v>
      </c>
      <c r="K15" s="45">
        <f t="shared" si="1"/>
        <v>1434.9999999999998</v>
      </c>
      <c r="L15" s="46">
        <f t="shared" si="2"/>
        <v>0</v>
      </c>
      <c r="M15" s="47" t="e">
        <f t="shared" si="3"/>
        <v>#VALUE!</v>
      </c>
      <c r="N15" s="48">
        <f t="shared" si="4"/>
        <v>0</v>
      </c>
      <c r="O15" s="49">
        <f t="shared" si="5"/>
        <v>0</v>
      </c>
      <c r="P15" s="49">
        <f t="shared" si="6"/>
        <v>0</v>
      </c>
      <c r="Q15" s="49">
        <f t="shared" si="7"/>
        <v>0</v>
      </c>
      <c r="R15" s="50">
        <f t="shared" si="8"/>
        <v>0</v>
      </c>
      <c r="S15" s="49">
        <f t="shared" si="9"/>
        <v>0</v>
      </c>
      <c r="T15" s="51">
        <f t="shared" si="10"/>
        <v>0</v>
      </c>
      <c r="U15" s="52">
        <f t="shared" si="11"/>
        <v>0</v>
      </c>
      <c r="V15" s="53">
        <f t="shared" si="12"/>
        <v>0</v>
      </c>
      <c r="W15" s="47">
        <f t="shared" si="13"/>
        <v>0</v>
      </c>
      <c r="X15" s="54"/>
      <c r="Y15" s="17"/>
      <c r="Z15" s="55">
        <f t="shared" si="14"/>
        <v>1</v>
      </c>
      <c r="AA15" s="55">
        <f t="shared" si="15"/>
        <v>0</v>
      </c>
      <c r="AB15" s="58"/>
      <c r="AC15" s="19"/>
    </row>
    <row r="16" spans="1:29" ht="14.4" x14ac:dyDescent="0.3">
      <c r="A16" s="12">
        <v>10</v>
      </c>
      <c r="B16" s="41">
        <v>0.33333333333333331</v>
      </c>
      <c r="C16" s="41"/>
      <c r="D16" s="41"/>
      <c r="E16" s="41">
        <v>0.5</v>
      </c>
      <c r="F16" s="42"/>
      <c r="G16" s="43" t="str">
        <f t="shared" si="0"/>
        <v/>
      </c>
      <c r="H16" s="41"/>
      <c r="I16" s="41"/>
      <c r="J16" s="44">
        <f t="shared" si="16"/>
        <v>3</v>
      </c>
      <c r="K16" s="45">
        <f t="shared" si="1"/>
        <v>1434.9999999999998</v>
      </c>
      <c r="L16" s="46">
        <f t="shared" si="2"/>
        <v>5.0000000000000009</v>
      </c>
      <c r="M16" s="47" t="e">
        <f t="shared" si="3"/>
        <v>#VALUE!</v>
      </c>
      <c r="N16" s="48">
        <f t="shared" si="4"/>
        <v>0</v>
      </c>
      <c r="O16" s="49">
        <f t="shared" si="5"/>
        <v>0</v>
      </c>
      <c r="P16" s="49">
        <f t="shared" si="6"/>
        <v>0</v>
      </c>
      <c r="Q16" s="49">
        <f t="shared" si="7"/>
        <v>240.38461538461544</v>
      </c>
      <c r="R16" s="50">
        <f t="shared" si="8"/>
        <v>0</v>
      </c>
      <c r="S16" s="49">
        <f t="shared" si="9"/>
        <v>0</v>
      </c>
      <c r="T16" s="51">
        <f t="shared" si="10"/>
        <v>-240.38461538461544</v>
      </c>
      <c r="U16" s="52">
        <f t="shared" si="11"/>
        <v>0</v>
      </c>
      <c r="V16" s="53">
        <f t="shared" si="12"/>
        <v>5.0000000000000009</v>
      </c>
      <c r="W16" s="47">
        <f t="shared" si="13"/>
        <v>0</v>
      </c>
      <c r="X16" s="54"/>
      <c r="Y16" s="17"/>
      <c r="Z16" s="55">
        <f t="shared" si="14"/>
        <v>1</v>
      </c>
      <c r="AA16" s="55">
        <f t="shared" si="15"/>
        <v>0</v>
      </c>
      <c r="AB16" s="58"/>
      <c r="AC16" s="19"/>
    </row>
    <row r="17" spans="1:29" ht="14.4" x14ac:dyDescent="0.3">
      <c r="A17" s="12">
        <v>11</v>
      </c>
      <c r="B17" s="41"/>
      <c r="C17" s="41"/>
      <c r="D17" s="41"/>
      <c r="E17" s="41"/>
      <c r="F17" s="42"/>
      <c r="G17" s="43" t="str">
        <f t="shared" si="0"/>
        <v/>
      </c>
      <c r="H17" s="41"/>
      <c r="I17" s="41"/>
      <c r="J17" s="44">
        <f t="shared" si="16"/>
        <v>-1</v>
      </c>
      <c r="K17" s="45">
        <f t="shared" si="1"/>
        <v>955</v>
      </c>
      <c r="L17" s="46">
        <f t="shared" si="2"/>
        <v>17</v>
      </c>
      <c r="M17" s="47" t="e">
        <f t="shared" si="3"/>
        <v>#VALUE!</v>
      </c>
      <c r="N17" s="48">
        <f t="shared" si="4"/>
        <v>0</v>
      </c>
      <c r="O17" s="49">
        <f t="shared" si="5"/>
        <v>0</v>
      </c>
      <c r="P17" s="49">
        <f t="shared" si="6"/>
        <v>0</v>
      </c>
      <c r="Q17" s="49">
        <f t="shared" si="7"/>
        <v>0</v>
      </c>
      <c r="R17" s="50">
        <f t="shared" si="8"/>
        <v>0</v>
      </c>
      <c r="S17" s="49">
        <f t="shared" si="9"/>
        <v>0</v>
      </c>
      <c r="T17" s="51">
        <f t="shared" si="10"/>
        <v>0</v>
      </c>
      <c r="U17" s="52">
        <f t="shared" si="11"/>
        <v>0</v>
      </c>
      <c r="V17" s="53">
        <f t="shared" si="12"/>
        <v>0</v>
      </c>
      <c r="W17" s="47">
        <f t="shared" si="13"/>
        <v>0</v>
      </c>
      <c r="X17" s="54"/>
      <c r="Y17" s="17"/>
      <c r="Z17" s="55">
        <f t="shared" si="14"/>
        <v>1</v>
      </c>
      <c r="AA17" s="55">
        <f t="shared" si="15"/>
        <v>0</v>
      </c>
      <c r="AB17" s="58"/>
      <c r="AC17" s="19"/>
    </row>
    <row r="18" spans="1:29" ht="14.4" x14ac:dyDescent="0.3">
      <c r="A18" s="12">
        <v>12</v>
      </c>
      <c r="B18" s="41"/>
      <c r="C18" s="41"/>
      <c r="D18" s="41"/>
      <c r="E18" s="41"/>
      <c r="F18" s="42"/>
      <c r="G18" s="43" t="str">
        <f t="shared" si="0"/>
        <v/>
      </c>
      <c r="H18" s="41"/>
      <c r="I18" s="41"/>
      <c r="J18" s="44">
        <f t="shared" si="16"/>
        <v>-1</v>
      </c>
      <c r="K18" s="45">
        <f t="shared" si="1"/>
        <v>955</v>
      </c>
      <c r="L18" s="46">
        <f t="shared" si="2"/>
        <v>17</v>
      </c>
      <c r="M18" s="47" t="e">
        <f t="shared" si="3"/>
        <v>#VALUE!</v>
      </c>
      <c r="N18" s="48">
        <f t="shared" si="4"/>
        <v>0</v>
      </c>
      <c r="O18" s="49">
        <f t="shared" si="5"/>
        <v>0</v>
      </c>
      <c r="P18" s="49">
        <f t="shared" si="6"/>
        <v>0</v>
      </c>
      <c r="Q18" s="49">
        <f t="shared" si="7"/>
        <v>0</v>
      </c>
      <c r="R18" s="50">
        <f t="shared" si="8"/>
        <v>0</v>
      </c>
      <c r="S18" s="49">
        <f t="shared" si="9"/>
        <v>0</v>
      </c>
      <c r="T18" s="51">
        <f t="shared" si="10"/>
        <v>0</v>
      </c>
      <c r="U18" s="52">
        <f t="shared" si="11"/>
        <v>0</v>
      </c>
      <c r="V18" s="53">
        <f t="shared" si="12"/>
        <v>0</v>
      </c>
      <c r="W18" s="47">
        <f t="shared" si="13"/>
        <v>0</v>
      </c>
      <c r="X18" s="54"/>
      <c r="Y18" s="17"/>
      <c r="Z18" s="55">
        <f t="shared" si="14"/>
        <v>1</v>
      </c>
      <c r="AA18" s="55">
        <f t="shared" si="15"/>
        <v>0</v>
      </c>
      <c r="AB18" s="58"/>
      <c r="AC18" s="19"/>
    </row>
    <row r="19" spans="1:29" ht="14.4" x14ac:dyDescent="0.3">
      <c r="A19" s="12">
        <v>13</v>
      </c>
      <c r="B19" s="41"/>
      <c r="C19" s="41"/>
      <c r="D19" s="41"/>
      <c r="E19" s="41"/>
      <c r="F19" s="42"/>
      <c r="G19" s="43" t="str">
        <f t="shared" si="0"/>
        <v/>
      </c>
      <c r="H19" s="41"/>
      <c r="I19" s="41"/>
      <c r="J19" s="44">
        <f t="shared" si="16"/>
        <v>-1</v>
      </c>
      <c r="K19" s="45">
        <f t="shared" si="1"/>
        <v>955</v>
      </c>
      <c r="L19" s="46">
        <f t="shared" si="2"/>
        <v>17</v>
      </c>
      <c r="M19" s="47" t="e">
        <f t="shared" si="3"/>
        <v>#VALUE!</v>
      </c>
      <c r="N19" s="48">
        <f t="shared" si="4"/>
        <v>0</v>
      </c>
      <c r="O19" s="49">
        <f t="shared" si="5"/>
        <v>0</v>
      </c>
      <c r="P19" s="49">
        <f t="shared" si="6"/>
        <v>0</v>
      </c>
      <c r="Q19" s="49">
        <f t="shared" si="7"/>
        <v>0</v>
      </c>
      <c r="R19" s="50">
        <f t="shared" si="8"/>
        <v>0</v>
      </c>
      <c r="S19" s="49">
        <f t="shared" si="9"/>
        <v>0</v>
      </c>
      <c r="T19" s="51">
        <f t="shared" si="10"/>
        <v>0</v>
      </c>
      <c r="U19" s="52">
        <f t="shared" si="11"/>
        <v>0</v>
      </c>
      <c r="V19" s="53">
        <f t="shared" si="12"/>
        <v>0</v>
      </c>
      <c r="W19" s="47">
        <f t="shared" si="13"/>
        <v>0</v>
      </c>
      <c r="X19" s="54"/>
      <c r="Y19" s="17"/>
      <c r="Z19" s="55">
        <f t="shared" si="14"/>
        <v>1</v>
      </c>
      <c r="AA19" s="55">
        <f t="shared" si="15"/>
        <v>0</v>
      </c>
      <c r="AB19" s="58"/>
      <c r="AC19" s="19"/>
    </row>
    <row r="20" spans="1:29" ht="14.4" x14ac:dyDescent="0.3">
      <c r="A20" s="12">
        <v>14</v>
      </c>
      <c r="B20" s="41">
        <v>0.375</v>
      </c>
      <c r="C20" s="41"/>
      <c r="D20" s="41"/>
      <c r="E20" s="41">
        <v>0.70833333333333337</v>
      </c>
      <c r="F20" s="42"/>
      <c r="G20" s="43" t="str">
        <f t="shared" si="0"/>
        <v/>
      </c>
      <c r="H20" s="41"/>
      <c r="I20" s="41"/>
      <c r="J20" s="44">
        <f t="shared" si="16"/>
        <v>7</v>
      </c>
      <c r="K20" s="45">
        <f t="shared" si="1"/>
        <v>54.999999999999964</v>
      </c>
      <c r="L20" s="46">
        <f t="shared" si="2"/>
        <v>0</v>
      </c>
      <c r="M20" s="47" t="e">
        <f t="shared" si="3"/>
        <v>#VALUE!</v>
      </c>
      <c r="N20" s="48">
        <f t="shared" si="4"/>
        <v>0</v>
      </c>
      <c r="O20" s="49">
        <f t="shared" si="5"/>
        <v>0</v>
      </c>
      <c r="P20" s="49">
        <f t="shared" si="6"/>
        <v>44.070512820512796</v>
      </c>
      <c r="Q20" s="49">
        <f t="shared" si="7"/>
        <v>0</v>
      </c>
      <c r="R20" s="50">
        <f t="shared" si="8"/>
        <v>0</v>
      </c>
      <c r="S20" s="49">
        <f t="shared" si="9"/>
        <v>0</v>
      </c>
      <c r="T20" s="51">
        <f t="shared" si="10"/>
        <v>-44.070512820512796</v>
      </c>
      <c r="U20" s="52">
        <f t="shared" si="11"/>
        <v>54.999999999999964</v>
      </c>
      <c r="V20" s="53">
        <f t="shared" si="12"/>
        <v>0</v>
      </c>
      <c r="W20" s="47">
        <f t="shared" si="13"/>
        <v>0</v>
      </c>
      <c r="X20" s="54"/>
      <c r="Y20" s="17"/>
      <c r="Z20" s="55">
        <f t="shared" si="14"/>
        <v>1</v>
      </c>
      <c r="AA20" s="55">
        <f t="shared" si="15"/>
        <v>0</v>
      </c>
      <c r="AB20" s="58"/>
      <c r="AC20" s="19"/>
    </row>
    <row r="21" spans="1:29" ht="15.75" customHeight="1" x14ac:dyDescent="0.3">
      <c r="A21" s="12">
        <v>15</v>
      </c>
      <c r="B21" s="41"/>
      <c r="C21" s="41"/>
      <c r="D21" s="41"/>
      <c r="E21" s="41"/>
      <c r="F21" s="42"/>
      <c r="G21" s="43" t="str">
        <f t="shared" si="0"/>
        <v/>
      </c>
      <c r="H21" s="41"/>
      <c r="I21" s="41"/>
      <c r="J21" s="44">
        <f t="shared" si="16"/>
        <v>-1</v>
      </c>
      <c r="K21" s="45">
        <f t="shared" si="1"/>
        <v>955</v>
      </c>
      <c r="L21" s="46">
        <f t="shared" si="2"/>
        <v>17</v>
      </c>
      <c r="M21" s="47" t="e">
        <f t="shared" si="3"/>
        <v>#VALUE!</v>
      </c>
      <c r="N21" s="48">
        <f t="shared" si="4"/>
        <v>0</v>
      </c>
      <c r="O21" s="49">
        <f t="shared" si="5"/>
        <v>0</v>
      </c>
      <c r="P21" s="49">
        <f t="shared" si="6"/>
        <v>0</v>
      </c>
      <c r="Q21" s="49">
        <f t="shared" si="7"/>
        <v>0</v>
      </c>
      <c r="R21" s="50">
        <f t="shared" si="8"/>
        <v>0</v>
      </c>
      <c r="S21" s="49">
        <f t="shared" si="9"/>
        <v>0</v>
      </c>
      <c r="T21" s="51">
        <f t="shared" si="10"/>
        <v>0</v>
      </c>
      <c r="U21" s="52">
        <f t="shared" si="11"/>
        <v>0</v>
      </c>
      <c r="V21" s="53">
        <f t="shared" si="12"/>
        <v>0</v>
      </c>
      <c r="W21" s="47">
        <f t="shared" si="13"/>
        <v>0</v>
      </c>
      <c r="X21" s="54"/>
      <c r="Y21" s="17"/>
      <c r="Z21" s="55">
        <f t="shared" si="14"/>
        <v>1</v>
      </c>
      <c r="AA21" s="55">
        <f t="shared" si="15"/>
        <v>0</v>
      </c>
      <c r="AB21" s="58"/>
      <c r="AC21" s="19"/>
    </row>
    <row r="22" spans="1:29" ht="15.75" customHeight="1" x14ac:dyDescent="0.3">
      <c r="A22" s="12">
        <v>16</v>
      </c>
      <c r="B22" s="41"/>
      <c r="C22" s="41"/>
      <c r="D22" s="41"/>
      <c r="E22" s="41"/>
      <c r="F22" s="42"/>
      <c r="G22" s="43" t="str">
        <f t="shared" si="0"/>
        <v/>
      </c>
      <c r="H22" s="41"/>
      <c r="I22" s="41"/>
      <c r="J22" s="44">
        <f t="shared" si="16"/>
        <v>-1</v>
      </c>
      <c r="K22" s="45">
        <f t="shared" si="1"/>
        <v>955</v>
      </c>
      <c r="L22" s="46">
        <f t="shared" si="2"/>
        <v>17</v>
      </c>
      <c r="M22" s="47" t="e">
        <f t="shared" si="3"/>
        <v>#VALUE!</v>
      </c>
      <c r="N22" s="48">
        <f t="shared" si="4"/>
        <v>0</v>
      </c>
      <c r="O22" s="49">
        <f t="shared" si="5"/>
        <v>0</v>
      </c>
      <c r="P22" s="49">
        <f t="shared" si="6"/>
        <v>0</v>
      </c>
      <c r="Q22" s="49">
        <f t="shared" si="7"/>
        <v>0</v>
      </c>
      <c r="R22" s="50">
        <f t="shared" si="8"/>
        <v>0</v>
      </c>
      <c r="S22" s="49">
        <f t="shared" si="9"/>
        <v>0</v>
      </c>
      <c r="T22" s="51">
        <f t="shared" si="10"/>
        <v>0</v>
      </c>
      <c r="U22" s="52">
        <f t="shared" si="11"/>
        <v>0</v>
      </c>
      <c r="V22" s="53">
        <f t="shared" si="12"/>
        <v>0</v>
      </c>
      <c r="W22" s="47">
        <f t="shared" si="13"/>
        <v>0</v>
      </c>
      <c r="X22" s="54"/>
      <c r="Y22" s="17"/>
      <c r="Z22" s="55">
        <f t="shared" si="14"/>
        <v>1</v>
      </c>
      <c r="AA22" s="55">
        <f t="shared" si="15"/>
        <v>0</v>
      </c>
      <c r="AB22" s="58"/>
      <c r="AC22" s="19"/>
    </row>
    <row r="23" spans="1:29" ht="15.75" customHeight="1" x14ac:dyDescent="0.3">
      <c r="A23" s="12">
        <v>17</v>
      </c>
      <c r="B23" s="41"/>
      <c r="C23" s="41"/>
      <c r="D23" s="41"/>
      <c r="E23" s="41"/>
      <c r="F23" s="42"/>
      <c r="G23" s="43" t="str">
        <f t="shared" si="0"/>
        <v/>
      </c>
      <c r="H23" s="41"/>
      <c r="I23" s="41"/>
      <c r="J23" s="44">
        <f t="shared" si="16"/>
        <v>-1</v>
      </c>
      <c r="K23" s="45">
        <f t="shared" si="1"/>
        <v>955</v>
      </c>
      <c r="L23" s="46">
        <f t="shared" si="2"/>
        <v>17</v>
      </c>
      <c r="M23" s="47" t="e">
        <f t="shared" si="3"/>
        <v>#VALUE!</v>
      </c>
      <c r="N23" s="48">
        <f t="shared" si="4"/>
        <v>0</v>
      </c>
      <c r="O23" s="49">
        <f t="shared" si="5"/>
        <v>0</v>
      </c>
      <c r="P23" s="49">
        <f t="shared" si="6"/>
        <v>0</v>
      </c>
      <c r="Q23" s="49">
        <f t="shared" si="7"/>
        <v>0</v>
      </c>
      <c r="R23" s="50">
        <f t="shared" si="8"/>
        <v>0</v>
      </c>
      <c r="S23" s="49">
        <f t="shared" si="9"/>
        <v>0</v>
      </c>
      <c r="T23" s="51">
        <f t="shared" si="10"/>
        <v>0</v>
      </c>
      <c r="U23" s="52">
        <f t="shared" si="11"/>
        <v>0</v>
      </c>
      <c r="V23" s="53">
        <f t="shared" si="12"/>
        <v>0</v>
      </c>
      <c r="W23" s="47">
        <f t="shared" si="13"/>
        <v>0</v>
      </c>
      <c r="X23" s="54"/>
      <c r="Y23" s="17"/>
      <c r="Z23" s="55">
        <f t="shared" si="14"/>
        <v>1</v>
      </c>
      <c r="AA23" s="55">
        <f t="shared" si="15"/>
        <v>0</v>
      </c>
      <c r="AB23" s="58"/>
      <c r="AC23" s="19"/>
    </row>
    <row r="24" spans="1:29" ht="15.75" customHeight="1" x14ac:dyDescent="0.3">
      <c r="A24" s="12">
        <v>18</v>
      </c>
      <c r="B24" s="41"/>
      <c r="C24" s="41"/>
      <c r="D24" s="41"/>
      <c r="E24" s="41"/>
      <c r="F24" s="42"/>
      <c r="G24" s="43" t="str">
        <f t="shared" si="0"/>
        <v/>
      </c>
      <c r="H24" s="41"/>
      <c r="I24" s="41"/>
      <c r="J24" s="44">
        <f t="shared" si="16"/>
        <v>-1</v>
      </c>
      <c r="K24" s="45">
        <f t="shared" si="1"/>
        <v>955</v>
      </c>
      <c r="L24" s="46">
        <f t="shared" si="2"/>
        <v>17</v>
      </c>
      <c r="M24" s="47" t="e">
        <f t="shared" si="3"/>
        <v>#VALUE!</v>
      </c>
      <c r="N24" s="48">
        <f t="shared" si="4"/>
        <v>0</v>
      </c>
      <c r="O24" s="49">
        <f t="shared" si="5"/>
        <v>0</v>
      </c>
      <c r="P24" s="49">
        <f t="shared" si="6"/>
        <v>0</v>
      </c>
      <c r="Q24" s="49">
        <f t="shared" si="7"/>
        <v>0</v>
      </c>
      <c r="R24" s="50">
        <f t="shared" si="8"/>
        <v>0</v>
      </c>
      <c r="S24" s="49">
        <f t="shared" si="9"/>
        <v>0</v>
      </c>
      <c r="T24" s="51">
        <f t="shared" si="10"/>
        <v>0</v>
      </c>
      <c r="U24" s="52">
        <f t="shared" si="11"/>
        <v>0</v>
      </c>
      <c r="V24" s="53">
        <f t="shared" si="12"/>
        <v>0</v>
      </c>
      <c r="W24" s="47">
        <f t="shared" si="13"/>
        <v>0</v>
      </c>
      <c r="X24" s="54"/>
      <c r="Y24" s="17"/>
      <c r="Z24" s="55">
        <f t="shared" si="14"/>
        <v>1</v>
      </c>
      <c r="AA24" s="55">
        <f t="shared" si="15"/>
        <v>0</v>
      </c>
      <c r="AB24" s="58"/>
      <c r="AC24" s="19"/>
    </row>
    <row r="25" spans="1:29" ht="15.75" customHeight="1" x14ac:dyDescent="0.3">
      <c r="A25" s="12">
        <v>19</v>
      </c>
      <c r="B25" s="41"/>
      <c r="C25" s="41"/>
      <c r="D25" s="41"/>
      <c r="E25" s="41"/>
      <c r="F25" s="42"/>
      <c r="G25" s="43" t="str">
        <f t="shared" si="0"/>
        <v/>
      </c>
      <c r="H25" s="41"/>
      <c r="I25" s="41"/>
      <c r="J25" s="44">
        <f t="shared" si="16"/>
        <v>-1</v>
      </c>
      <c r="K25" s="45">
        <f t="shared" si="1"/>
        <v>955</v>
      </c>
      <c r="L25" s="46">
        <f t="shared" si="2"/>
        <v>17</v>
      </c>
      <c r="M25" s="47" t="e">
        <f t="shared" si="3"/>
        <v>#VALUE!</v>
      </c>
      <c r="N25" s="48">
        <f t="shared" si="4"/>
        <v>0</v>
      </c>
      <c r="O25" s="49">
        <f t="shared" si="5"/>
        <v>0</v>
      </c>
      <c r="P25" s="49">
        <f t="shared" si="6"/>
        <v>0</v>
      </c>
      <c r="Q25" s="49">
        <f t="shared" si="7"/>
        <v>0</v>
      </c>
      <c r="R25" s="50">
        <f t="shared" si="8"/>
        <v>0</v>
      </c>
      <c r="S25" s="49">
        <f t="shared" si="9"/>
        <v>0</v>
      </c>
      <c r="T25" s="51">
        <f t="shared" si="10"/>
        <v>0</v>
      </c>
      <c r="U25" s="52">
        <f t="shared" si="11"/>
        <v>0</v>
      </c>
      <c r="V25" s="53">
        <f t="shared" si="12"/>
        <v>0</v>
      </c>
      <c r="W25" s="47">
        <f t="shared" si="13"/>
        <v>0</v>
      </c>
      <c r="X25" s="54"/>
      <c r="Y25" s="17"/>
      <c r="Z25" s="55">
        <f t="shared" si="14"/>
        <v>1</v>
      </c>
      <c r="AA25" s="55">
        <f t="shared" si="15"/>
        <v>0</v>
      </c>
      <c r="AB25" s="58"/>
      <c r="AC25" s="19"/>
    </row>
    <row r="26" spans="1:29" ht="15.75" customHeight="1" x14ac:dyDescent="0.3">
      <c r="A26" s="12">
        <v>20</v>
      </c>
      <c r="B26" s="41"/>
      <c r="C26" s="41"/>
      <c r="D26" s="41"/>
      <c r="E26" s="41"/>
      <c r="F26" s="42"/>
      <c r="G26" s="43" t="str">
        <f t="shared" si="0"/>
        <v/>
      </c>
      <c r="H26" s="41"/>
      <c r="I26" s="41"/>
      <c r="J26" s="44">
        <f t="shared" si="16"/>
        <v>-1</v>
      </c>
      <c r="K26" s="45">
        <f t="shared" si="1"/>
        <v>955</v>
      </c>
      <c r="L26" s="46">
        <f t="shared" si="2"/>
        <v>17</v>
      </c>
      <c r="M26" s="47" t="e">
        <f t="shared" si="3"/>
        <v>#VALUE!</v>
      </c>
      <c r="N26" s="48">
        <f t="shared" si="4"/>
        <v>0</v>
      </c>
      <c r="O26" s="49">
        <f t="shared" si="5"/>
        <v>0</v>
      </c>
      <c r="P26" s="49">
        <f t="shared" si="6"/>
        <v>0</v>
      </c>
      <c r="Q26" s="49">
        <f t="shared" si="7"/>
        <v>0</v>
      </c>
      <c r="R26" s="50">
        <f t="shared" si="8"/>
        <v>0</v>
      </c>
      <c r="S26" s="49">
        <f t="shared" si="9"/>
        <v>0</v>
      </c>
      <c r="T26" s="51">
        <f t="shared" si="10"/>
        <v>0</v>
      </c>
      <c r="U26" s="52">
        <f t="shared" si="11"/>
        <v>0</v>
      </c>
      <c r="V26" s="53">
        <f t="shared" si="12"/>
        <v>0</v>
      </c>
      <c r="W26" s="47">
        <f t="shared" si="13"/>
        <v>0</v>
      </c>
      <c r="X26" s="54"/>
      <c r="Y26" s="17"/>
      <c r="Z26" s="55">
        <f t="shared" si="14"/>
        <v>1</v>
      </c>
      <c r="AA26" s="55">
        <f t="shared" si="15"/>
        <v>0</v>
      </c>
      <c r="AB26" s="58"/>
      <c r="AC26" s="19"/>
    </row>
    <row r="27" spans="1:29" ht="15.75" customHeight="1" x14ac:dyDescent="0.3">
      <c r="A27" s="12">
        <v>21</v>
      </c>
      <c r="B27" s="41"/>
      <c r="C27" s="41"/>
      <c r="D27" s="41"/>
      <c r="E27" s="41"/>
      <c r="F27" s="41"/>
      <c r="G27" s="43" t="str">
        <f t="shared" si="0"/>
        <v/>
      </c>
      <c r="H27" s="41"/>
      <c r="I27" s="41"/>
      <c r="J27" s="44">
        <f t="shared" si="16"/>
        <v>-1</v>
      </c>
      <c r="K27" s="45">
        <f t="shared" si="1"/>
        <v>955</v>
      </c>
      <c r="L27" s="46">
        <f t="shared" si="2"/>
        <v>17</v>
      </c>
      <c r="M27" s="47" t="e">
        <f t="shared" si="3"/>
        <v>#VALUE!</v>
      </c>
      <c r="N27" s="48">
        <f t="shared" si="4"/>
        <v>0</v>
      </c>
      <c r="O27" s="49">
        <f t="shared" si="5"/>
        <v>0</v>
      </c>
      <c r="P27" s="49">
        <f t="shared" si="6"/>
        <v>0</v>
      </c>
      <c r="Q27" s="49">
        <f t="shared" si="7"/>
        <v>0</v>
      </c>
      <c r="R27" s="50">
        <f t="shared" si="8"/>
        <v>0</v>
      </c>
      <c r="S27" s="49">
        <f t="shared" si="9"/>
        <v>0</v>
      </c>
      <c r="T27" s="51">
        <f t="shared" si="10"/>
        <v>0</v>
      </c>
      <c r="U27" s="52">
        <f t="shared" si="11"/>
        <v>0</v>
      </c>
      <c r="V27" s="53">
        <f t="shared" si="12"/>
        <v>0</v>
      </c>
      <c r="W27" s="47">
        <f t="shared" si="13"/>
        <v>0</v>
      </c>
      <c r="X27" s="54"/>
      <c r="Y27" s="17"/>
      <c r="Z27" s="55">
        <f t="shared" si="14"/>
        <v>1</v>
      </c>
      <c r="AA27" s="55">
        <f t="shared" si="15"/>
        <v>0</v>
      </c>
      <c r="AB27" s="58"/>
      <c r="AC27" s="19"/>
    </row>
    <row r="28" spans="1:29" ht="15.75" customHeight="1" x14ac:dyDescent="0.3">
      <c r="A28" s="12">
        <v>22</v>
      </c>
      <c r="B28" s="41"/>
      <c r="C28" s="41"/>
      <c r="D28" s="41"/>
      <c r="E28" s="41"/>
      <c r="F28" s="42"/>
      <c r="G28" s="43" t="str">
        <f t="shared" si="0"/>
        <v/>
      </c>
      <c r="H28" s="41"/>
      <c r="I28" s="41"/>
      <c r="J28" s="44">
        <f t="shared" si="16"/>
        <v>-1</v>
      </c>
      <c r="K28" s="45">
        <f t="shared" si="1"/>
        <v>955</v>
      </c>
      <c r="L28" s="46">
        <f t="shared" si="2"/>
        <v>17</v>
      </c>
      <c r="M28" s="47" t="e">
        <f t="shared" si="3"/>
        <v>#VALUE!</v>
      </c>
      <c r="N28" s="48">
        <f t="shared" si="4"/>
        <v>0</v>
      </c>
      <c r="O28" s="49">
        <f t="shared" si="5"/>
        <v>0</v>
      </c>
      <c r="P28" s="49">
        <f t="shared" si="6"/>
        <v>0</v>
      </c>
      <c r="Q28" s="49">
        <f t="shared" si="7"/>
        <v>0</v>
      </c>
      <c r="R28" s="50">
        <f t="shared" si="8"/>
        <v>0</v>
      </c>
      <c r="S28" s="49">
        <f t="shared" si="9"/>
        <v>0</v>
      </c>
      <c r="T28" s="51">
        <f t="shared" si="10"/>
        <v>0</v>
      </c>
      <c r="U28" s="52">
        <f t="shared" si="11"/>
        <v>0</v>
      </c>
      <c r="V28" s="53">
        <f t="shared" si="12"/>
        <v>0</v>
      </c>
      <c r="W28" s="47">
        <f t="shared" si="13"/>
        <v>0</v>
      </c>
      <c r="X28" s="54"/>
      <c r="Y28" s="17"/>
      <c r="Z28" s="55">
        <f t="shared" si="14"/>
        <v>1</v>
      </c>
      <c r="AA28" s="55">
        <f t="shared" si="15"/>
        <v>0</v>
      </c>
      <c r="AB28" s="58"/>
      <c r="AC28" s="19"/>
    </row>
    <row r="29" spans="1:29" ht="15.75" customHeight="1" x14ac:dyDescent="0.3">
      <c r="A29" s="12">
        <v>23</v>
      </c>
      <c r="B29" s="41"/>
      <c r="C29" s="41"/>
      <c r="D29" s="41"/>
      <c r="E29" s="41"/>
      <c r="F29" s="42"/>
      <c r="G29" s="43" t="str">
        <f t="shared" si="0"/>
        <v/>
      </c>
      <c r="H29" s="41"/>
      <c r="I29" s="41"/>
      <c r="J29" s="44">
        <f t="shared" si="16"/>
        <v>-1</v>
      </c>
      <c r="K29" s="45">
        <f t="shared" si="1"/>
        <v>955</v>
      </c>
      <c r="L29" s="46">
        <f t="shared" si="2"/>
        <v>17</v>
      </c>
      <c r="M29" s="47" t="e">
        <f t="shared" si="3"/>
        <v>#VALUE!</v>
      </c>
      <c r="N29" s="48">
        <f t="shared" si="4"/>
        <v>0</v>
      </c>
      <c r="O29" s="49">
        <f t="shared" si="5"/>
        <v>0</v>
      </c>
      <c r="P29" s="49">
        <f t="shared" si="6"/>
        <v>0</v>
      </c>
      <c r="Q29" s="49">
        <f t="shared" si="7"/>
        <v>0</v>
      </c>
      <c r="R29" s="50">
        <f t="shared" si="8"/>
        <v>0</v>
      </c>
      <c r="S29" s="49">
        <f t="shared" si="9"/>
        <v>0</v>
      </c>
      <c r="T29" s="51">
        <f t="shared" si="10"/>
        <v>0</v>
      </c>
      <c r="U29" s="52">
        <f t="shared" si="11"/>
        <v>0</v>
      </c>
      <c r="V29" s="53">
        <f t="shared" si="12"/>
        <v>0</v>
      </c>
      <c r="W29" s="47">
        <f t="shared" si="13"/>
        <v>0</v>
      </c>
      <c r="X29" s="54"/>
      <c r="Y29" s="17"/>
      <c r="Z29" s="55">
        <f t="shared" si="14"/>
        <v>1</v>
      </c>
      <c r="AA29" s="55">
        <f t="shared" si="15"/>
        <v>0</v>
      </c>
      <c r="AB29" s="58"/>
      <c r="AC29" s="19"/>
    </row>
    <row r="30" spans="1:29" ht="15.75" customHeight="1" x14ac:dyDescent="0.3">
      <c r="A30" s="12">
        <v>24</v>
      </c>
      <c r="B30" s="41"/>
      <c r="C30" s="41"/>
      <c r="D30" s="41"/>
      <c r="E30" s="41"/>
      <c r="F30" s="42"/>
      <c r="G30" s="43" t="str">
        <f t="shared" si="0"/>
        <v/>
      </c>
      <c r="H30" s="41"/>
      <c r="I30" s="41"/>
      <c r="J30" s="44">
        <f t="shared" si="16"/>
        <v>-1</v>
      </c>
      <c r="K30" s="45">
        <f t="shared" si="1"/>
        <v>955</v>
      </c>
      <c r="L30" s="46">
        <f t="shared" si="2"/>
        <v>17</v>
      </c>
      <c r="M30" s="47" t="e">
        <f t="shared" si="3"/>
        <v>#VALUE!</v>
      </c>
      <c r="N30" s="48">
        <f t="shared" si="4"/>
        <v>0</v>
      </c>
      <c r="O30" s="49">
        <f t="shared" si="5"/>
        <v>0</v>
      </c>
      <c r="P30" s="49">
        <f t="shared" si="6"/>
        <v>0</v>
      </c>
      <c r="Q30" s="49">
        <f t="shared" si="7"/>
        <v>0</v>
      </c>
      <c r="R30" s="50">
        <f t="shared" si="8"/>
        <v>0</v>
      </c>
      <c r="S30" s="49">
        <f t="shared" si="9"/>
        <v>0</v>
      </c>
      <c r="T30" s="51">
        <f t="shared" si="10"/>
        <v>0</v>
      </c>
      <c r="U30" s="52">
        <f t="shared" si="11"/>
        <v>0</v>
      </c>
      <c r="V30" s="53">
        <f t="shared" si="12"/>
        <v>0</v>
      </c>
      <c r="W30" s="47">
        <f t="shared" si="13"/>
        <v>0</v>
      </c>
      <c r="X30" s="54"/>
      <c r="Y30" s="17"/>
      <c r="Z30" s="55">
        <f t="shared" si="14"/>
        <v>1</v>
      </c>
      <c r="AA30" s="55">
        <f t="shared" si="15"/>
        <v>0</v>
      </c>
      <c r="AB30" s="58"/>
      <c r="AC30" s="19"/>
    </row>
    <row r="31" spans="1:29" ht="15.75" customHeight="1" x14ac:dyDescent="0.3">
      <c r="A31" s="12">
        <v>25</v>
      </c>
      <c r="B31" s="41"/>
      <c r="C31" s="41"/>
      <c r="D31" s="41"/>
      <c r="E31" s="41"/>
      <c r="F31" s="42"/>
      <c r="G31" s="43" t="str">
        <f t="shared" si="0"/>
        <v/>
      </c>
      <c r="H31" s="41"/>
      <c r="I31" s="41"/>
      <c r="J31" s="44">
        <f t="shared" si="16"/>
        <v>-1</v>
      </c>
      <c r="K31" s="45">
        <f t="shared" si="1"/>
        <v>955</v>
      </c>
      <c r="L31" s="46">
        <f t="shared" si="2"/>
        <v>17</v>
      </c>
      <c r="M31" s="47" t="e">
        <f t="shared" si="3"/>
        <v>#VALUE!</v>
      </c>
      <c r="N31" s="48">
        <f t="shared" si="4"/>
        <v>0</v>
      </c>
      <c r="O31" s="49">
        <f t="shared" si="5"/>
        <v>0</v>
      </c>
      <c r="P31" s="49">
        <f t="shared" si="6"/>
        <v>0</v>
      </c>
      <c r="Q31" s="49">
        <f t="shared" si="7"/>
        <v>0</v>
      </c>
      <c r="R31" s="50">
        <f t="shared" si="8"/>
        <v>0</v>
      </c>
      <c r="S31" s="49">
        <f t="shared" si="9"/>
        <v>0</v>
      </c>
      <c r="T31" s="51">
        <f t="shared" si="10"/>
        <v>0</v>
      </c>
      <c r="U31" s="52">
        <f t="shared" si="11"/>
        <v>0</v>
      </c>
      <c r="V31" s="53">
        <f t="shared" si="12"/>
        <v>0</v>
      </c>
      <c r="W31" s="47">
        <f t="shared" si="13"/>
        <v>0</v>
      </c>
      <c r="X31" s="54"/>
      <c r="Y31" s="17"/>
      <c r="Z31" s="55">
        <f t="shared" si="14"/>
        <v>1</v>
      </c>
      <c r="AA31" s="55">
        <f t="shared" si="15"/>
        <v>0</v>
      </c>
      <c r="AB31" s="58"/>
      <c r="AC31" s="19"/>
    </row>
    <row r="32" spans="1:29" ht="15.75" customHeight="1" x14ac:dyDescent="0.3">
      <c r="A32" s="12">
        <v>26</v>
      </c>
      <c r="B32" s="41"/>
      <c r="C32" s="41"/>
      <c r="D32" s="41"/>
      <c r="E32" s="41"/>
      <c r="F32" s="42"/>
      <c r="G32" s="43" t="str">
        <f t="shared" si="0"/>
        <v/>
      </c>
      <c r="H32" s="41"/>
      <c r="I32" s="41"/>
      <c r="J32" s="44">
        <f t="shared" si="16"/>
        <v>-1</v>
      </c>
      <c r="K32" s="45">
        <f t="shared" si="1"/>
        <v>955</v>
      </c>
      <c r="L32" s="46">
        <f t="shared" si="2"/>
        <v>17</v>
      </c>
      <c r="M32" s="47" t="e">
        <f t="shared" si="3"/>
        <v>#VALUE!</v>
      </c>
      <c r="N32" s="48">
        <f t="shared" si="4"/>
        <v>0</v>
      </c>
      <c r="O32" s="49">
        <f t="shared" si="5"/>
        <v>0</v>
      </c>
      <c r="P32" s="49">
        <f t="shared" si="6"/>
        <v>0</v>
      </c>
      <c r="Q32" s="49">
        <f t="shared" si="7"/>
        <v>0</v>
      </c>
      <c r="R32" s="50">
        <f t="shared" si="8"/>
        <v>0</v>
      </c>
      <c r="S32" s="49">
        <f t="shared" si="9"/>
        <v>0</v>
      </c>
      <c r="T32" s="51">
        <f t="shared" si="10"/>
        <v>0</v>
      </c>
      <c r="U32" s="52">
        <f t="shared" si="11"/>
        <v>0</v>
      </c>
      <c r="V32" s="53">
        <f t="shared" si="12"/>
        <v>0</v>
      </c>
      <c r="W32" s="47">
        <f t="shared" si="13"/>
        <v>0</v>
      </c>
      <c r="X32" s="54"/>
      <c r="Y32" s="17"/>
      <c r="Z32" s="55">
        <f t="shared" si="14"/>
        <v>1</v>
      </c>
      <c r="AA32" s="55">
        <f t="shared" si="15"/>
        <v>0</v>
      </c>
      <c r="AB32" s="58"/>
      <c r="AC32" s="19"/>
    </row>
    <row r="33" spans="1:29" ht="15.75" customHeight="1" x14ac:dyDescent="0.3">
      <c r="A33" s="12">
        <v>27</v>
      </c>
      <c r="B33" s="41"/>
      <c r="C33" s="41"/>
      <c r="D33" s="41"/>
      <c r="E33" s="41"/>
      <c r="F33" s="42"/>
      <c r="G33" s="43" t="str">
        <f t="shared" si="0"/>
        <v/>
      </c>
      <c r="H33" s="41"/>
      <c r="I33" s="41"/>
      <c r="J33" s="44">
        <f t="shared" si="16"/>
        <v>-1</v>
      </c>
      <c r="K33" s="45">
        <f t="shared" si="1"/>
        <v>955</v>
      </c>
      <c r="L33" s="46">
        <f t="shared" si="2"/>
        <v>17</v>
      </c>
      <c r="M33" s="47" t="e">
        <f t="shared" si="3"/>
        <v>#VALUE!</v>
      </c>
      <c r="N33" s="48">
        <f t="shared" si="4"/>
        <v>0</v>
      </c>
      <c r="O33" s="49">
        <f t="shared" si="5"/>
        <v>0</v>
      </c>
      <c r="P33" s="49">
        <f t="shared" si="6"/>
        <v>0</v>
      </c>
      <c r="Q33" s="49">
        <f t="shared" si="7"/>
        <v>0</v>
      </c>
      <c r="R33" s="50">
        <f t="shared" si="8"/>
        <v>0</v>
      </c>
      <c r="S33" s="49">
        <f t="shared" si="9"/>
        <v>0</v>
      </c>
      <c r="T33" s="51">
        <f t="shared" si="10"/>
        <v>0</v>
      </c>
      <c r="U33" s="52">
        <f t="shared" si="11"/>
        <v>0</v>
      </c>
      <c r="V33" s="53">
        <f t="shared" si="12"/>
        <v>0</v>
      </c>
      <c r="W33" s="47">
        <f t="shared" si="13"/>
        <v>0</v>
      </c>
      <c r="X33" s="54"/>
      <c r="Y33" s="17"/>
      <c r="Z33" s="55">
        <f t="shared" si="14"/>
        <v>1</v>
      </c>
      <c r="AA33" s="55">
        <f t="shared" si="15"/>
        <v>0</v>
      </c>
      <c r="AB33" s="58"/>
      <c r="AC33" s="19"/>
    </row>
    <row r="34" spans="1:29" ht="15.75" customHeight="1" x14ac:dyDescent="0.3">
      <c r="A34" s="12">
        <v>28</v>
      </c>
      <c r="B34" s="41"/>
      <c r="C34" s="41"/>
      <c r="D34" s="41"/>
      <c r="E34" s="41"/>
      <c r="F34" s="42"/>
      <c r="G34" s="43" t="str">
        <f t="shared" si="0"/>
        <v/>
      </c>
      <c r="H34" s="41"/>
      <c r="I34" s="41"/>
      <c r="J34" s="44">
        <f t="shared" si="16"/>
        <v>-1</v>
      </c>
      <c r="K34" s="45">
        <f t="shared" si="1"/>
        <v>955</v>
      </c>
      <c r="L34" s="46">
        <f t="shared" si="2"/>
        <v>17</v>
      </c>
      <c r="M34" s="47" t="e">
        <f t="shared" si="3"/>
        <v>#VALUE!</v>
      </c>
      <c r="N34" s="48">
        <f t="shared" si="4"/>
        <v>0</v>
      </c>
      <c r="O34" s="49">
        <f t="shared" si="5"/>
        <v>0</v>
      </c>
      <c r="P34" s="49">
        <f t="shared" si="6"/>
        <v>0</v>
      </c>
      <c r="Q34" s="49">
        <f t="shared" si="7"/>
        <v>0</v>
      </c>
      <c r="R34" s="50">
        <f t="shared" si="8"/>
        <v>0</v>
      </c>
      <c r="S34" s="49">
        <f t="shared" si="9"/>
        <v>0</v>
      </c>
      <c r="T34" s="51">
        <f t="shared" si="10"/>
        <v>0</v>
      </c>
      <c r="U34" s="52">
        <f t="shared" si="11"/>
        <v>0</v>
      </c>
      <c r="V34" s="53">
        <f t="shared" si="12"/>
        <v>0</v>
      </c>
      <c r="W34" s="47">
        <f t="shared" si="13"/>
        <v>0</v>
      </c>
      <c r="X34" s="54"/>
      <c r="Y34" s="17"/>
      <c r="Z34" s="55">
        <f t="shared" si="14"/>
        <v>1</v>
      </c>
      <c r="AA34" s="55">
        <f t="shared" si="15"/>
        <v>0</v>
      </c>
      <c r="AB34" s="58"/>
      <c r="AC34" s="19"/>
    </row>
    <row r="35" spans="1:29" ht="15.75" customHeight="1" x14ac:dyDescent="0.3">
      <c r="A35" s="12">
        <v>29</v>
      </c>
      <c r="B35" s="41"/>
      <c r="C35" s="41"/>
      <c r="D35" s="41"/>
      <c r="E35" s="41"/>
      <c r="F35" s="42"/>
      <c r="G35" s="43" t="str">
        <f t="shared" si="0"/>
        <v/>
      </c>
      <c r="H35" s="41"/>
      <c r="I35" s="41"/>
      <c r="J35" s="44">
        <f t="shared" si="16"/>
        <v>-1</v>
      </c>
      <c r="K35" s="45">
        <f t="shared" si="1"/>
        <v>955</v>
      </c>
      <c r="L35" s="46">
        <f t="shared" si="2"/>
        <v>17</v>
      </c>
      <c r="M35" s="47" t="e">
        <f t="shared" si="3"/>
        <v>#VALUE!</v>
      </c>
      <c r="N35" s="48">
        <f t="shared" si="4"/>
        <v>0</v>
      </c>
      <c r="O35" s="49">
        <f t="shared" si="5"/>
        <v>0</v>
      </c>
      <c r="P35" s="49">
        <f t="shared" si="6"/>
        <v>0</v>
      </c>
      <c r="Q35" s="49">
        <f t="shared" si="7"/>
        <v>0</v>
      </c>
      <c r="R35" s="50">
        <f t="shared" si="8"/>
        <v>0</v>
      </c>
      <c r="S35" s="49">
        <f t="shared" si="9"/>
        <v>0</v>
      </c>
      <c r="T35" s="51">
        <f t="shared" si="10"/>
        <v>0</v>
      </c>
      <c r="U35" s="52">
        <f t="shared" si="11"/>
        <v>0</v>
      </c>
      <c r="V35" s="53">
        <f t="shared" si="12"/>
        <v>0</v>
      </c>
      <c r="W35" s="47">
        <f t="shared" si="13"/>
        <v>0</v>
      </c>
      <c r="X35" s="54"/>
      <c r="Y35" s="17"/>
      <c r="Z35" s="55">
        <f t="shared" si="14"/>
        <v>1</v>
      </c>
      <c r="AA35" s="55">
        <f t="shared" si="15"/>
        <v>0</v>
      </c>
      <c r="AB35" s="58"/>
      <c r="AC35" s="19"/>
    </row>
    <row r="36" spans="1:29" ht="15.75" customHeight="1" x14ac:dyDescent="0.3">
      <c r="A36" s="12">
        <v>30</v>
      </c>
      <c r="B36" s="41"/>
      <c r="C36" s="41"/>
      <c r="D36" s="41"/>
      <c r="E36" s="41"/>
      <c r="F36" s="42"/>
      <c r="G36" s="43" t="str">
        <f t="shared" si="0"/>
        <v/>
      </c>
      <c r="H36" s="41"/>
      <c r="I36" s="41"/>
      <c r="J36" s="44">
        <f t="shared" si="16"/>
        <v>-1</v>
      </c>
      <c r="K36" s="45">
        <f t="shared" si="1"/>
        <v>955</v>
      </c>
      <c r="L36" s="46">
        <f t="shared" si="2"/>
        <v>17</v>
      </c>
      <c r="M36" s="47" t="e">
        <f t="shared" si="3"/>
        <v>#VALUE!</v>
      </c>
      <c r="N36" s="48">
        <f t="shared" si="4"/>
        <v>0</v>
      </c>
      <c r="O36" s="49">
        <f t="shared" si="5"/>
        <v>0</v>
      </c>
      <c r="P36" s="49">
        <f t="shared" si="6"/>
        <v>0</v>
      </c>
      <c r="Q36" s="49">
        <f t="shared" si="7"/>
        <v>0</v>
      </c>
      <c r="R36" s="50">
        <f t="shared" si="8"/>
        <v>0</v>
      </c>
      <c r="S36" s="49">
        <f t="shared" si="9"/>
        <v>0</v>
      </c>
      <c r="T36" s="51">
        <f t="shared" si="10"/>
        <v>0</v>
      </c>
      <c r="U36" s="52">
        <f t="shared" si="11"/>
        <v>0</v>
      </c>
      <c r="V36" s="53">
        <f t="shared" si="12"/>
        <v>0</v>
      </c>
      <c r="W36" s="47">
        <f t="shared" si="13"/>
        <v>0</v>
      </c>
      <c r="X36" s="54"/>
      <c r="Y36" s="17"/>
      <c r="Z36" s="55">
        <f t="shared" si="14"/>
        <v>1</v>
      </c>
      <c r="AA36" s="55">
        <f t="shared" si="15"/>
        <v>0</v>
      </c>
      <c r="AB36" s="58"/>
      <c r="AC36" s="19"/>
    </row>
    <row r="37" spans="1:29" ht="15.75" customHeight="1" x14ac:dyDescent="0.3">
      <c r="A37" s="12">
        <v>31</v>
      </c>
      <c r="B37" s="41"/>
      <c r="C37" s="41"/>
      <c r="D37" s="41"/>
      <c r="E37" s="41"/>
      <c r="F37" s="42"/>
      <c r="G37" s="43" t="str">
        <f t="shared" si="0"/>
        <v/>
      </c>
      <c r="H37" s="41"/>
      <c r="I37" s="41"/>
      <c r="J37" s="44">
        <f t="shared" si="16"/>
        <v>-1</v>
      </c>
      <c r="K37" s="45">
        <f t="shared" si="1"/>
        <v>955</v>
      </c>
      <c r="L37" s="46">
        <f t="shared" si="2"/>
        <v>17</v>
      </c>
      <c r="M37" s="47" t="e">
        <f t="shared" si="3"/>
        <v>#VALUE!</v>
      </c>
      <c r="N37" s="48">
        <f t="shared" si="4"/>
        <v>0</v>
      </c>
      <c r="O37" s="49">
        <f t="shared" si="5"/>
        <v>0</v>
      </c>
      <c r="P37" s="49">
        <f t="shared" si="6"/>
        <v>0</v>
      </c>
      <c r="Q37" s="49">
        <f t="shared" si="7"/>
        <v>0</v>
      </c>
      <c r="R37" s="50">
        <f t="shared" si="8"/>
        <v>0</v>
      </c>
      <c r="S37" s="49">
        <f t="shared" si="9"/>
        <v>0</v>
      </c>
      <c r="T37" s="51">
        <f t="shared" si="10"/>
        <v>0</v>
      </c>
      <c r="U37" s="52">
        <f t="shared" si="11"/>
        <v>0</v>
      </c>
      <c r="V37" s="53">
        <f t="shared" si="12"/>
        <v>0</v>
      </c>
      <c r="W37" s="47">
        <f t="shared" si="13"/>
        <v>0</v>
      </c>
      <c r="X37" s="54"/>
      <c r="Y37" s="17"/>
      <c r="Z37" s="55">
        <f t="shared" si="14"/>
        <v>1</v>
      </c>
      <c r="AA37" s="55">
        <f t="shared" si="15"/>
        <v>0</v>
      </c>
      <c r="AB37" s="58"/>
      <c r="AC37" s="19"/>
    </row>
    <row r="38" spans="1:29" ht="15.75" customHeight="1" x14ac:dyDescent="0.35">
      <c r="A38" s="17"/>
      <c r="B38" s="60" t="s">
        <v>51</v>
      </c>
      <c r="C38" s="61"/>
      <c r="D38" s="61"/>
      <c r="E38" s="61"/>
      <c r="F38" s="61"/>
      <c r="G38" s="61"/>
      <c r="H38" s="61"/>
      <c r="I38" s="17"/>
      <c r="J38" s="17"/>
      <c r="K38" s="17"/>
      <c r="L38" s="17"/>
      <c r="M38" s="17"/>
      <c r="N38" s="17"/>
      <c r="O38" s="17"/>
      <c r="P38" s="17"/>
      <c r="Q38" s="17"/>
      <c r="R38" s="61"/>
      <c r="S38" s="17"/>
      <c r="T38" s="62">
        <f>SUM(T7:T37)</f>
        <v>-290.06410256410254</v>
      </c>
      <c r="U38" s="17"/>
      <c r="V38" s="17"/>
      <c r="W38" s="17"/>
      <c r="X38" s="63">
        <f>SUM(X7:X37)</f>
        <v>0</v>
      </c>
      <c r="Y38" s="98">
        <f>($N$3+T38)-X38</f>
        <v>9709.9358974358984</v>
      </c>
      <c r="Z38" s="95"/>
      <c r="AA38" s="96"/>
      <c r="AB38" s="19"/>
      <c r="AC38" s="19"/>
    </row>
    <row r="39" spans="1:29" ht="15.75" customHeight="1" x14ac:dyDescent="0.3">
      <c r="AC39" s="19"/>
    </row>
    <row r="40" spans="1:29" ht="15.75" customHeight="1" x14ac:dyDescent="0.3">
      <c r="A40" s="64" t="s">
        <v>52</v>
      </c>
    </row>
    <row r="41" spans="1:29" ht="21" customHeight="1" x14ac:dyDescent="0.3">
      <c r="B41" s="65" t="s">
        <v>53</v>
      </c>
      <c r="C41" s="66"/>
      <c r="D41" s="66"/>
    </row>
    <row r="42" spans="1:29" ht="15.75" customHeight="1" x14ac:dyDescent="0.3">
      <c r="B42" s="67" t="s">
        <v>54</v>
      </c>
      <c r="C42" s="40"/>
      <c r="D42" s="40"/>
    </row>
    <row r="43" spans="1:29" ht="15.75" customHeight="1" x14ac:dyDescent="0.3">
      <c r="B43" s="68" t="s">
        <v>55</v>
      </c>
      <c r="C43" s="69"/>
      <c r="D43" s="69"/>
    </row>
    <row r="44" spans="1:29" ht="15.75" customHeight="1" x14ac:dyDescent="0.3">
      <c r="B44" s="70" t="s">
        <v>21</v>
      </c>
      <c r="C44" s="40"/>
      <c r="D44" s="40"/>
    </row>
    <row r="45" spans="1:29" ht="15.75" customHeight="1" x14ac:dyDescent="0.3">
      <c r="B45" s="71">
        <v>0.31597222222222221</v>
      </c>
      <c r="C45" s="12" t="s">
        <v>56</v>
      </c>
      <c r="D45" s="72" t="s">
        <v>57</v>
      </c>
      <c r="E45" s="72"/>
      <c r="F45" s="72"/>
      <c r="G45" s="72"/>
      <c r="H45" s="72"/>
      <c r="I45" s="72"/>
      <c r="J45" s="72"/>
    </row>
    <row r="46" spans="1:29" ht="15.75" customHeight="1" x14ac:dyDescent="0.3">
      <c r="B46" s="71">
        <v>0.31666666666666665</v>
      </c>
      <c r="C46" s="12" t="s">
        <v>58</v>
      </c>
      <c r="D46" s="72" t="s">
        <v>59</v>
      </c>
      <c r="E46" s="72"/>
      <c r="F46" s="72"/>
      <c r="G46" s="72"/>
      <c r="H46" s="72"/>
      <c r="I46" s="72"/>
      <c r="J46" s="72"/>
    </row>
    <row r="47" spans="1:29" ht="15.75" customHeight="1" x14ac:dyDescent="0.3">
      <c r="B47" s="71">
        <v>0.31944444444444448</v>
      </c>
      <c r="C47" s="12" t="s">
        <v>60</v>
      </c>
      <c r="D47" s="72" t="s">
        <v>61</v>
      </c>
      <c r="E47" s="72"/>
      <c r="F47" s="72"/>
      <c r="G47" s="72"/>
      <c r="H47" s="72"/>
      <c r="I47" s="72"/>
      <c r="J47" s="72"/>
    </row>
    <row r="48" spans="1:29" ht="15.75" customHeight="1" x14ac:dyDescent="0.3">
      <c r="B48" s="71">
        <v>0.32291666666666669</v>
      </c>
      <c r="C48" s="12" t="s">
        <v>62</v>
      </c>
      <c r="D48" s="72" t="s">
        <v>63</v>
      </c>
      <c r="E48" s="72"/>
      <c r="F48" s="72"/>
      <c r="G48" s="72"/>
      <c r="H48" s="72"/>
      <c r="I48" s="72"/>
      <c r="J48" s="72"/>
    </row>
    <row r="49" spans="2:10" ht="15.75" customHeight="1" x14ac:dyDescent="0.3">
      <c r="B49" s="71">
        <v>0.32361111111111113</v>
      </c>
      <c r="C49" s="12" t="s">
        <v>64</v>
      </c>
      <c r="D49" s="72" t="s">
        <v>65</v>
      </c>
      <c r="E49" s="72"/>
      <c r="F49" s="72"/>
      <c r="G49" s="72"/>
      <c r="H49" s="72"/>
      <c r="I49" s="72"/>
      <c r="J49" s="72"/>
    </row>
    <row r="50" spans="2:10" ht="15.75" customHeight="1" x14ac:dyDescent="0.3">
      <c r="B50" s="71">
        <v>0.70833333333333337</v>
      </c>
      <c r="C50" s="12" t="s">
        <v>66</v>
      </c>
      <c r="D50" s="72" t="s">
        <v>67</v>
      </c>
      <c r="E50" s="72"/>
      <c r="F50" s="72"/>
      <c r="G50" s="72"/>
      <c r="H50" s="72"/>
      <c r="I50" s="72"/>
      <c r="J50" s="72"/>
    </row>
    <row r="51" spans="2:10" ht="15.75" customHeight="1" x14ac:dyDescent="0.3">
      <c r="B51" s="71">
        <v>0.72916666666666663</v>
      </c>
      <c r="C51" s="12" t="s">
        <v>68</v>
      </c>
      <c r="D51" s="72" t="s">
        <v>69</v>
      </c>
      <c r="E51" s="72"/>
      <c r="F51" s="72"/>
      <c r="G51" s="72"/>
      <c r="H51" s="72"/>
      <c r="I51" s="72"/>
      <c r="J51" s="72"/>
    </row>
    <row r="52" spans="2:10" ht="15.75" customHeight="1" x14ac:dyDescent="0.3">
      <c r="B52" s="71">
        <v>0.72986111111111107</v>
      </c>
      <c r="C52" s="12" t="s">
        <v>70</v>
      </c>
      <c r="D52" s="72" t="s">
        <v>71</v>
      </c>
      <c r="E52" s="72"/>
      <c r="F52" s="72"/>
      <c r="G52" s="72"/>
      <c r="H52" s="72"/>
      <c r="I52" s="72"/>
      <c r="J52" s="72"/>
    </row>
    <row r="53" spans="2:10" ht="15.75" customHeight="1" x14ac:dyDescent="0.3">
      <c r="B53" s="7" t="s">
        <v>72</v>
      </c>
      <c r="C53" s="73" t="s">
        <v>73</v>
      </c>
    </row>
    <row r="54" spans="2:10" ht="15.75" customHeight="1" x14ac:dyDescent="0.3">
      <c r="C54" s="73" t="s">
        <v>74</v>
      </c>
    </row>
    <row r="55" spans="2:10" ht="15.75" customHeight="1" x14ac:dyDescent="0.3">
      <c r="C55" s="73" t="s">
        <v>75</v>
      </c>
    </row>
    <row r="56" spans="2:10" ht="15.75" customHeight="1" x14ac:dyDescent="0.3">
      <c r="C56" s="12"/>
    </row>
    <row r="57" spans="2:10" ht="15.75" customHeight="1" x14ac:dyDescent="0.3">
      <c r="C57" s="12"/>
    </row>
    <row r="58" spans="2:10" ht="15.75" customHeight="1" x14ac:dyDescent="0.3">
      <c r="C58" s="12"/>
    </row>
    <row r="59" spans="2:10" ht="15.75" customHeight="1" x14ac:dyDescent="0.3">
      <c r="C59" s="12"/>
    </row>
    <row r="60" spans="2:10" ht="15.75" customHeight="1" x14ac:dyDescent="0.3">
      <c r="C60" s="12"/>
    </row>
    <row r="61" spans="2:10" ht="15.75" customHeight="1" x14ac:dyDescent="0.3">
      <c r="C61" s="12"/>
    </row>
    <row r="62" spans="2:10" ht="15.75" customHeight="1" x14ac:dyDescent="0.3">
      <c r="C62" s="12"/>
    </row>
    <row r="63" spans="2:10" ht="15.75" customHeight="1" x14ac:dyDescent="0.3">
      <c r="C63" s="12"/>
    </row>
    <row r="64" spans="2:10" ht="15.75" customHeight="1" x14ac:dyDescent="0.3">
      <c r="C64" s="12"/>
    </row>
    <row r="65" spans="3:3" ht="15.75" customHeight="1" x14ac:dyDescent="0.3">
      <c r="C65" s="12"/>
    </row>
    <row r="66" spans="3:3" ht="15.75" customHeight="1" x14ac:dyDescent="0.3">
      <c r="C66" s="12"/>
    </row>
    <row r="67" spans="3:3" ht="15.75" customHeight="1" x14ac:dyDescent="0.3">
      <c r="C67" s="12"/>
    </row>
    <row r="68" spans="3:3" ht="15.75" customHeight="1" x14ac:dyDescent="0.3">
      <c r="C68" s="12"/>
    </row>
    <row r="69" spans="3:3" ht="15.75" customHeight="1" x14ac:dyDescent="0.3">
      <c r="C69" s="12"/>
    </row>
    <row r="70" spans="3:3" ht="15.75" customHeight="1" x14ac:dyDescent="0.3">
      <c r="C70" s="12"/>
    </row>
    <row r="71" spans="3:3" ht="15.75" customHeight="1" x14ac:dyDescent="0.3">
      <c r="C71" s="12"/>
    </row>
    <row r="72" spans="3:3" ht="15.75" customHeight="1" x14ac:dyDescent="0.3">
      <c r="C72" s="12"/>
    </row>
    <row r="73" spans="3:3" ht="15.75" customHeight="1" x14ac:dyDescent="0.3">
      <c r="C73" s="12"/>
    </row>
    <row r="74" spans="3:3" ht="15.75" customHeight="1" x14ac:dyDescent="0.3">
      <c r="C74" s="12"/>
    </row>
    <row r="75" spans="3:3" ht="15.75" customHeight="1" x14ac:dyDescent="0.3">
      <c r="C75" s="12"/>
    </row>
    <row r="76" spans="3:3" ht="15.75" customHeight="1" x14ac:dyDescent="0.3">
      <c r="C76" s="12"/>
    </row>
    <row r="77" spans="3:3" ht="15.75" customHeight="1" x14ac:dyDescent="0.3">
      <c r="C77" s="12"/>
    </row>
    <row r="78" spans="3:3" ht="15.75" customHeight="1" x14ac:dyDescent="0.3">
      <c r="C78" s="12"/>
    </row>
    <row r="79" spans="3:3" ht="21" customHeight="1" x14ac:dyDescent="0.3">
      <c r="C79" s="12"/>
    </row>
    <row r="80" spans="3:3" ht="15.75" customHeight="1" x14ac:dyDescent="0.3">
      <c r="C80" s="12"/>
    </row>
    <row r="81" spans="3:3" ht="15.75" customHeight="1" x14ac:dyDescent="0.3">
      <c r="C81" s="12"/>
    </row>
    <row r="82" spans="3:3" ht="15.75" customHeight="1" x14ac:dyDescent="0.3">
      <c r="C82" s="12"/>
    </row>
    <row r="83" spans="3:3" ht="15.75" customHeight="1" x14ac:dyDescent="0.3">
      <c r="C83" s="12"/>
    </row>
    <row r="84" spans="3:3" ht="15.75" customHeight="1" x14ac:dyDescent="0.3">
      <c r="C84" s="12"/>
    </row>
    <row r="85" spans="3:3" ht="15.75" customHeight="1" x14ac:dyDescent="0.3">
      <c r="C85" s="12"/>
    </row>
    <row r="86" spans="3:3" ht="15.75" customHeight="1" x14ac:dyDescent="0.3">
      <c r="C86" s="12"/>
    </row>
    <row r="87" spans="3:3" ht="15.75" customHeight="1" x14ac:dyDescent="0.3">
      <c r="C87" s="12"/>
    </row>
    <row r="88" spans="3:3" ht="15.75" customHeight="1" x14ac:dyDescent="0.3">
      <c r="C88" s="12"/>
    </row>
    <row r="89" spans="3:3" ht="15.75" customHeight="1" x14ac:dyDescent="0.3">
      <c r="C89" s="12"/>
    </row>
    <row r="90" spans="3:3" ht="15.75" customHeight="1" x14ac:dyDescent="0.3">
      <c r="C90" s="12"/>
    </row>
    <row r="91" spans="3:3" ht="15.75" customHeight="1" x14ac:dyDescent="0.3">
      <c r="C91" s="12"/>
    </row>
    <row r="92" spans="3:3" ht="15.75" customHeight="1" x14ac:dyDescent="0.3">
      <c r="C92" s="12"/>
    </row>
    <row r="93" spans="3:3" ht="15.75" customHeight="1" x14ac:dyDescent="0.3">
      <c r="C93" s="12"/>
    </row>
    <row r="94" spans="3:3" ht="15.75" customHeight="1" x14ac:dyDescent="0.3">
      <c r="C94" s="12"/>
    </row>
    <row r="95" spans="3:3" ht="15.75" customHeight="1" x14ac:dyDescent="0.3">
      <c r="C95" s="12"/>
    </row>
    <row r="96" spans="3:3" ht="15.75" customHeight="1" x14ac:dyDescent="0.3">
      <c r="C96" s="12"/>
    </row>
    <row r="97" spans="3:3" ht="15.75" customHeight="1" x14ac:dyDescent="0.3">
      <c r="C97" s="12"/>
    </row>
    <row r="98" spans="3:3" ht="15.75" customHeight="1" x14ac:dyDescent="0.3">
      <c r="C98" s="12"/>
    </row>
    <row r="99" spans="3:3" ht="15.75" customHeight="1" x14ac:dyDescent="0.3">
      <c r="C99" s="12"/>
    </row>
    <row r="100" spans="3:3" ht="15.75" customHeight="1" x14ac:dyDescent="0.3">
      <c r="C100" s="12"/>
    </row>
    <row r="101" spans="3:3" ht="15.75" customHeight="1" x14ac:dyDescent="0.3">
      <c r="C101" s="12"/>
    </row>
    <row r="102" spans="3:3" ht="15.75" customHeight="1" x14ac:dyDescent="0.3">
      <c r="C102" s="12"/>
    </row>
    <row r="103" spans="3:3" ht="15.75" customHeight="1" x14ac:dyDescent="0.3">
      <c r="C103" s="12"/>
    </row>
    <row r="104" spans="3:3" ht="15.75" customHeight="1" x14ac:dyDescent="0.3">
      <c r="C104" s="12"/>
    </row>
    <row r="105" spans="3:3" ht="15.75" customHeight="1" x14ac:dyDescent="0.3">
      <c r="C105" s="12"/>
    </row>
    <row r="106" spans="3:3" ht="15.75" customHeight="1" x14ac:dyDescent="0.3">
      <c r="C106" s="12"/>
    </row>
    <row r="107" spans="3:3" ht="15.75" customHeight="1" x14ac:dyDescent="0.3">
      <c r="C107" s="12"/>
    </row>
    <row r="108" spans="3:3" ht="15.75" customHeight="1" x14ac:dyDescent="0.3">
      <c r="C108" s="12"/>
    </row>
    <row r="109" spans="3:3" ht="15.75" customHeight="1" x14ac:dyDescent="0.3">
      <c r="C109" s="12"/>
    </row>
    <row r="110" spans="3:3" ht="15.75" customHeight="1" x14ac:dyDescent="0.3">
      <c r="C110" s="12"/>
    </row>
    <row r="111" spans="3:3" ht="15.75" customHeight="1" x14ac:dyDescent="0.3">
      <c r="C111" s="12"/>
    </row>
    <row r="112" spans="3:3" ht="15.75" customHeight="1" x14ac:dyDescent="0.3">
      <c r="C112" s="12"/>
    </row>
    <row r="113" spans="3:3" ht="15.75" customHeight="1" x14ac:dyDescent="0.3">
      <c r="C113" s="12"/>
    </row>
    <row r="114" spans="3:3" ht="15.75" customHeight="1" x14ac:dyDescent="0.3">
      <c r="C114" s="12"/>
    </row>
    <row r="115" spans="3:3" ht="15.75" customHeight="1" x14ac:dyDescent="0.3">
      <c r="C115" s="12"/>
    </row>
    <row r="116" spans="3:3" ht="15.75" customHeight="1" x14ac:dyDescent="0.3">
      <c r="C116" s="12"/>
    </row>
    <row r="117" spans="3:3" ht="21" customHeight="1" x14ac:dyDescent="0.3">
      <c r="C117" s="12"/>
    </row>
    <row r="118" spans="3:3" ht="15.75" customHeight="1" x14ac:dyDescent="0.3">
      <c r="C118" s="12"/>
    </row>
    <row r="119" spans="3:3" ht="15.75" customHeight="1" x14ac:dyDescent="0.3">
      <c r="C119" s="12"/>
    </row>
    <row r="120" spans="3:3" ht="15.75" customHeight="1" x14ac:dyDescent="0.3">
      <c r="C120" s="12"/>
    </row>
    <row r="121" spans="3:3" ht="15.75" customHeight="1" x14ac:dyDescent="0.3">
      <c r="C121" s="12"/>
    </row>
    <row r="122" spans="3:3" ht="15.75" customHeight="1" x14ac:dyDescent="0.3">
      <c r="C122" s="12"/>
    </row>
    <row r="123" spans="3:3" ht="15.75" customHeight="1" x14ac:dyDescent="0.3">
      <c r="C123" s="12"/>
    </row>
    <row r="124" spans="3:3" ht="15.75" customHeight="1" x14ac:dyDescent="0.3">
      <c r="C124" s="12"/>
    </row>
    <row r="125" spans="3:3" ht="15.75" customHeight="1" x14ac:dyDescent="0.3">
      <c r="C125" s="12"/>
    </row>
    <row r="126" spans="3:3" ht="15.75" customHeight="1" x14ac:dyDescent="0.3">
      <c r="C126" s="12"/>
    </row>
    <row r="127" spans="3:3" ht="15.75" customHeight="1" x14ac:dyDescent="0.3">
      <c r="C127" s="12"/>
    </row>
    <row r="128" spans="3:3" ht="15.75" customHeight="1" x14ac:dyDescent="0.3">
      <c r="C128" s="12"/>
    </row>
    <row r="129" spans="3:3" ht="15.75" customHeight="1" x14ac:dyDescent="0.3">
      <c r="C129" s="12"/>
    </row>
    <row r="130" spans="3:3" ht="15.75" customHeight="1" x14ac:dyDescent="0.3">
      <c r="C130" s="12"/>
    </row>
    <row r="131" spans="3:3" ht="15.75" customHeight="1" x14ac:dyDescent="0.3">
      <c r="C131" s="12"/>
    </row>
    <row r="132" spans="3:3" ht="15.75" customHeight="1" x14ac:dyDescent="0.3">
      <c r="C132" s="12"/>
    </row>
    <row r="133" spans="3:3" ht="15.75" customHeight="1" x14ac:dyDescent="0.3">
      <c r="C133" s="12"/>
    </row>
    <row r="134" spans="3:3" ht="15.75" customHeight="1" x14ac:dyDescent="0.3">
      <c r="C134" s="12"/>
    </row>
    <row r="135" spans="3:3" ht="15.75" customHeight="1" x14ac:dyDescent="0.3">
      <c r="C135" s="12"/>
    </row>
    <row r="136" spans="3:3" ht="15.75" customHeight="1" x14ac:dyDescent="0.3">
      <c r="C136" s="12"/>
    </row>
    <row r="137" spans="3:3" ht="15.75" customHeight="1" x14ac:dyDescent="0.3">
      <c r="C137" s="12"/>
    </row>
    <row r="138" spans="3:3" ht="15.75" customHeight="1" x14ac:dyDescent="0.3">
      <c r="C138" s="12"/>
    </row>
    <row r="139" spans="3:3" ht="15.75" customHeight="1" x14ac:dyDescent="0.3">
      <c r="C139" s="12"/>
    </row>
    <row r="140" spans="3:3" ht="15.75" customHeight="1" x14ac:dyDescent="0.3">
      <c r="C140" s="12"/>
    </row>
    <row r="141" spans="3:3" ht="15.75" customHeight="1" x14ac:dyDescent="0.3">
      <c r="C141" s="12"/>
    </row>
    <row r="142" spans="3:3" ht="15.75" customHeight="1" x14ac:dyDescent="0.3">
      <c r="C142" s="12"/>
    </row>
    <row r="143" spans="3:3" ht="15.75" customHeight="1" x14ac:dyDescent="0.3">
      <c r="C143" s="12"/>
    </row>
    <row r="144" spans="3:3" ht="15.75" customHeight="1" x14ac:dyDescent="0.3">
      <c r="C144" s="12"/>
    </row>
    <row r="145" spans="3:3" ht="15.75" customHeight="1" x14ac:dyDescent="0.3">
      <c r="C145" s="12"/>
    </row>
    <row r="146" spans="3:3" ht="15.75" customHeight="1" x14ac:dyDescent="0.3">
      <c r="C146" s="12"/>
    </row>
    <row r="147" spans="3:3" ht="15.75" customHeight="1" x14ac:dyDescent="0.3">
      <c r="C147" s="12"/>
    </row>
    <row r="148" spans="3:3" ht="15.75" customHeight="1" x14ac:dyDescent="0.3">
      <c r="C148" s="12"/>
    </row>
    <row r="149" spans="3:3" ht="15.75" customHeight="1" x14ac:dyDescent="0.3">
      <c r="C149" s="12"/>
    </row>
    <row r="150" spans="3:3" ht="15.75" customHeight="1" x14ac:dyDescent="0.3">
      <c r="C150" s="12"/>
    </row>
    <row r="151" spans="3:3" ht="15.75" customHeight="1" x14ac:dyDescent="0.3">
      <c r="C151" s="12"/>
    </row>
    <row r="152" spans="3:3" ht="15.75" customHeight="1" x14ac:dyDescent="0.3">
      <c r="C152" s="12"/>
    </row>
    <row r="153" spans="3:3" ht="15.75" customHeight="1" x14ac:dyDescent="0.3">
      <c r="C153" s="12"/>
    </row>
    <row r="154" spans="3:3" ht="15.75" customHeight="1" x14ac:dyDescent="0.3">
      <c r="C154" s="12"/>
    </row>
    <row r="155" spans="3:3" ht="21" customHeight="1" x14ac:dyDescent="0.3">
      <c r="C155" s="12"/>
    </row>
    <row r="156" spans="3:3" ht="15.75" customHeight="1" x14ac:dyDescent="0.3">
      <c r="C156" s="12"/>
    </row>
    <row r="157" spans="3:3" ht="15.75" customHeight="1" x14ac:dyDescent="0.3">
      <c r="C157" s="12"/>
    </row>
    <row r="158" spans="3:3" ht="15.75" customHeight="1" x14ac:dyDescent="0.3">
      <c r="C158" s="12"/>
    </row>
    <row r="159" spans="3:3" ht="15.75" customHeight="1" x14ac:dyDescent="0.3">
      <c r="C159" s="12"/>
    </row>
    <row r="160" spans="3:3" ht="15.75" customHeight="1" x14ac:dyDescent="0.3">
      <c r="C160" s="12"/>
    </row>
    <row r="161" spans="3:3" ht="15.75" customHeight="1" x14ac:dyDescent="0.3">
      <c r="C161" s="12"/>
    </row>
    <row r="162" spans="3:3" ht="15.75" customHeight="1" x14ac:dyDescent="0.3">
      <c r="C162" s="12"/>
    </row>
    <row r="163" spans="3:3" ht="15.75" customHeight="1" x14ac:dyDescent="0.3">
      <c r="C163" s="12"/>
    </row>
    <row r="164" spans="3:3" ht="15.75" customHeight="1" x14ac:dyDescent="0.3">
      <c r="C164" s="12"/>
    </row>
    <row r="165" spans="3:3" ht="15.75" customHeight="1" x14ac:dyDescent="0.3">
      <c r="C165" s="12"/>
    </row>
    <row r="166" spans="3:3" ht="15.75" customHeight="1" x14ac:dyDescent="0.3">
      <c r="C166" s="12"/>
    </row>
    <row r="167" spans="3:3" ht="15.75" customHeight="1" x14ac:dyDescent="0.3">
      <c r="C167" s="12"/>
    </row>
    <row r="168" spans="3:3" ht="15.75" customHeight="1" x14ac:dyDescent="0.3">
      <c r="C168" s="12"/>
    </row>
    <row r="169" spans="3:3" ht="15.75" customHeight="1" x14ac:dyDescent="0.3">
      <c r="C169" s="12"/>
    </row>
    <row r="170" spans="3:3" ht="15.75" customHeight="1" x14ac:dyDescent="0.3">
      <c r="C170" s="12"/>
    </row>
    <row r="171" spans="3:3" ht="15.75" customHeight="1" x14ac:dyDescent="0.3">
      <c r="C171" s="12"/>
    </row>
    <row r="172" spans="3:3" ht="15.75" customHeight="1" x14ac:dyDescent="0.3">
      <c r="C172" s="12"/>
    </row>
    <row r="173" spans="3:3" ht="15.75" customHeight="1" x14ac:dyDescent="0.3">
      <c r="C173" s="12"/>
    </row>
    <row r="174" spans="3:3" ht="15.75" customHeight="1" x14ac:dyDescent="0.3">
      <c r="C174" s="12"/>
    </row>
    <row r="175" spans="3:3" ht="15.75" customHeight="1" x14ac:dyDescent="0.3">
      <c r="C175" s="12"/>
    </row>
    <row r="176" spans="3:3" ht="15.75" customHeight="1" x14ac:dyDescent="0.3">
      <c r="C176" s="12"/>
    </row>
    <row r="177" spans="3:3" ht="15.75" customHeight="1" x14ac:dyDescent="0.3">
      <c r="C177" s="12"/>
    </row>
    <row r="178" spans="3:3" ht="15.75" customHeight="1" x14ac:dyDescent="0.3">
      <c r="C178" s="12"/>
    </row>
    <row r="179" spans="3:3" ht="15.75" customHeight="1" x14ac:dyDescent="0.3">
      <c r="C179" s="12"/>
    </row>
    <row r="180" spans="3:3" ht="15.75" customHeight="1" x14ac:dyDescent="0.3">
      <c r="C180" s="12"/>
    </row>
    <row r="181" spans="3:3" ht="15.75" customHeight="1" x14ac:dyDescent="0.3">
      <c r="C181" s="12"/>
    </row>
    <row r="182" spans="3:3" ht="15.75" customHeight="1" x14ac:dyDescent="0.3">
      <c r="C182" s="12"/>
    </row>
    <row r="183" spans="3:3" ht="15.75" customHeight="1" x14ac:dyDescent="0.3">
      <c r="C183" s="12"/>
    </row>
    <row r="184" spans="3:3" ht="15.75" customHeight="1" x14ac:dyDescent="0.3">
      <c r="C184" s="12"/>
    </row>
    <row r="185" spans="3:3" ht="15.75" customHeight="1" x14ac:dyDescent="0.3">
      <c r="C185" s="12"/>
    </row>
    <row r="186" spans="3:3" ht="15.75" customHeight="1" x14ac:dyDescent="0.3">
      <c r="C186" s="12"/>
    </row>
    <row r="187" spans="3:3" ht="15.75" customHeight="1" x14ac:dyDescent="0.3">
      <c r="C187" s="12"/>
    </row>
    <row r="188" spans="3:3" ht="15.75" customHeight="1" x14ac:dyDescent="0.3">
      <c r="C188" s="12"/>
    </row>
    <row r="189" spans="3:3" ht="15.75" customHeight="1" x14ac:dyDescent="0.3">
      <c r="C189" s="12"/>
    </row>
    <row r="190" spans="3:3" ht="15.75" customHeight="1" x14ac:dyDescent="0.3">
      <c r="C190" s="12"/>
    </row>
    <row r="191" spans="3:3" ht="15.75" customHeight="1" x14ac:dyDescent="0.3">
      <c r="C191" s="12"/>
    </row>
    <row r="192" spans="3:3" ht="15.75" customHeight="1" x14ac:dyDescent="0.3">
      <c r="C192" s="12"/>
    </row>
    <row r="193" spans="3:3" ht="21" customHeight="1" x14ac:dyDescent="0.3">
      <c r="C193" s="12"/>
    </row>
    <row r="194" spans="3:3" ht="15.75" customHeight="1" x14ac:dyDescent="0.3">
      <c r="C194" s="12"/>
    </row>
    <row r="195" spans="3:3" ht="15.75" customHeight="1" x14ac:dyDescent="0.3">
      <c r="C195" s="12"/>
    </row>
    <row r="196" spans="3:3" ht="15.75" customHeight="1" x14ac:dyDescent="0.3">
      <c r="C196" s="12"/>
    </row>
    <row r="197" spans="3:3" ht="15.75" customHeight="1" x14ac:dyDescent="0.3">
      <c r="C197" s="12"/>
    </row>
    <row r="198" spans="3:3" ht="15.75" customHeight="1" x14ac:dyDescent="0.3">
      <c r="C198" s="12"/>
    </row>
    <row r="199" spans="3:3" ht="15.75" customHeight="1" x14ac:dyDescent="0.3">
      <c r="C199" s="12"/>
    </row>
    <row r="200" spans="3:3" ht="15.75" customHeight="1" x14ac:dyDescent="0.3">
      <c r="C200" s="12"/>
    </row>
    <row r="201" spans="3:3" ht="15.75" customHeight="1" x14ac:dyDescent="0.3">
      <c r="C201" s="12"/>
    </row>
    <row r="202" spans="3:3" ht="15.75" customHeight="1" x14ac:dyDescent="0.3">
      <c r="C202" s="12"/>
    </row>
    <row r="203" spans="3:3" ht="15.75" customHeight="1" x14ac:dyDescent="0.3">
      <c r="C203" s="12"/>
    </row>
    <row r="204" spans="3:3" ht="15.75" customHeight="1" x14ac:dyDescent="0.3">
      <c r="C204" s="12"/>
    </row>
    <row r="205" spans="3:3" ht="15.75" customHeight="1" x14ac:dyDescent="0.3">
      <c r="C205" s="12"/>
    </row>
    <row r="206" spans="3:3" ht="15.75" customHeight="1" x14ac:dyDescent="0.3">
      <c r="C206" s="12"/>
    </row>
    <row r="207" spans="3:3" ht="15.75" customHeight="1" x14ac:dyDescent="0.3">
      <c r="C207" s="12"/>
    </row>
    <row r="208" spans="3:3" ht="15.75" customHeight="1" x14ac:dyDescent="0.3">
      <c r="C208" s="12"/>
    </row>
    <row r="209" spans="3:3" ht="15.75" customHeight="1" x14ac:dyDescent="0.3">
      <c r="C209" s="12"/>
    </row>
    <row r="210" spans="3:3" ht="15.75" customHeight="1" x14ac:dyDescent="0.3">
      <c r="C210" s="12"/>
    </row>
    <row r="211" spans="3:3" ht="15.75" customHeight="1" x14ac:dyDescent="0.3">
      <c r="C211" s="12"/>
    </row>
    <row r="212" spans="3:3" ht="15.75" customHeight="1" x14ac:dyDescent="0.3">
      <c r="C212" s="12"/>
    </row>
    <row r="213" spans="3:3" ht="15.75" customHeight="1" x14ac:dyDescent="0.3">
      <c r="C213" s="12"/>
    </row>
    <row r="214" spans="3:3" ht="15.75" customHeight="1" x14ac:dyDescent="0.3">
      <c r="C214" s="12"/>
    </row>
    <row r="215" spans="3:3" ht="15.75" customHeight="1" x14ac:dyDescent="0.3">
      <c r="C215" s="12"/>
    </row>
    <row r="216" spans="3:3" ht="15.75" customHeight="1" x14ac:dyDescent="0.3">
      <c r="C216" s="12"/>
    </row>
    <row r="217" spans="3:3" ht="15.75" customHeight="1" x14ac:dyDescent="0.3">
      <c r="C217" s="12"/>
    </row>
    <row r="218" spans="3:3" ht="15.75" customHeight="1" x14ac:dyDescent="0.3">
      <c r="C218" s="12"/>
    </row>
    <row r="219" spans="3:3" ht="15.75" customHeight="1" x14ac:dyDescent="0.3">
      <c r="C219" s="12"/>
    </row>
    <row r="220" spans="3:3" ht="15.75" customHeight="1" x14ac:dyDescent="0.3">
      <c r="C220" s="12"/>
    </row>
    <row r="221" spans="3:3" ht="15.75" customHeight="1" x14ac:dyDescent="0.3">
      <c r="C221" s="12"/>
    </row>
    <row r="222" spans="3:3" ht="15.75" customHeight="1" x14ac:dyDescent="0.3">
      <c r="C222" s="12"/>
    </row>
    <row r="223" spans="3:3" ht="15.75" customHeight="1" x14ac:dyDescent="0.3">
      <c r="C223" s="12"/>
    </row>
    <row r="224" spans="3:3" ht="15.75" customHeight="1" x14ac:dyDescent="0.3">
      <c r="C224" s="12"/>
    </row>
    <row r="225" spans="3:3" ht="15.75" customHeight="1" x14ac:dyDescent="0.3">
      <c r="C225" s="12"/>
    </row>
    <row r="226" spans="3:3" ht="15.75" customHeight="1" x14ac:dyDescent="0.3">
      <c r="C226" s="12"/>
    </row>
    <row r="227" spans="3:3" ht="15.75" customHeight="1" x14ac:dyDescent="0.3">
      <c r="C227" s="12"/>
    </row>
    <row r="228" spans="3:3" ht="15.75" customHeight="1" x14ac:dyDescent="0.3">
      <c r="C228" s="12"/>
    </row>
    <row r="229" spans="3:3" ht="15.75" customHeight="1" x14ac:dyDescent="0.3">
      <c r="C229" s="12"/>
    </row>
    <row r="230" spans="3:3" ht="15.75" customHeight="1" x14ac:dyDescent="0.3">
      <c r="C230" s="12"/>
    </row>
    <row r="231" spans="3:3" ht="21" customHeight="1" x14ac:dyDescent="0.3">
      <c r="C231" s="12"/>
    </row>
    <row r="232" spans="3:3" ht="15.75" customHeight="1" x14ac:dyDescent="0.3">
      <c r="C232" s="12"/>
    </row>
    <row r="233" spans="3:3" ht="15.75" customHeight="1" x14ac:dyDescent="0.3">
      <c r="C233" s="12"/>
    </row>
    <row r="234" spans="3:3" ht="15.75" customHeight="1" x14ac:dyDescent="0.3">
      <c r="C234" s="12"/>
    </row>
    <row r="235" spans="3:3" ht="15.75" customHeight="1" x14ac:dyDescent="0.3">
      <c r="C235" s="12"/>
    </row>
    <row r="236" spans="3:3" ht="15.75" customHeight="1" x14ac:dyDescent="0.3">
      <c r="C236" s="12"/>
    </row>
    <row r="237" spans="3:3" ht="15.75" customHeight="1" x14ac:dyDescent="0.3">
      <c r="C237" s="12"/>
    </row>
    <row r="238" spans="3:3" ht="15.75" customHeight="1" x14ac:dyDescent="0.3">
      <c r="C238" s="12"/>
    </row>
    <row r="239" spans="3:3" ht="15.75" customHeight="1" x14ac:dyDescent="0.3">
      <c r="C239" s="12"/>
    </row>
    <row r="240" spans="3:3" ht="15.75" customHeight="1" x14ac:dyDescent="0.3">
      <c r="C240" s="12"/>
    </row>
    <row r="241" spans="3:3" ht="15.75" customHeight="1" x14ac:dyDescent="0.3">
      <c r="C241" s="12"/>
    </row>
    <row r="242" spans="3:3" ht="15.75" customHeight="1" x14ac:dyDescent="0.3">
      <c r="C242" s="12"/>
    </row>
    <row r="243" spans="3:3" ht="15.75" customHeight="1" x14ac:dyDescent="0.3">
      <c r="C243" s="12"/>
    </row>
    <row r="244" spans="3:3" ht="15.75" customHeight="1" x14ac:dyDescent="0.3">
      <c r="C244" s="12"/>
    </row>
    <row r="245" spans="3:3" ht="15.75" customHeight="1" x14ac:dyDescent="0.3">
      <c r="C245" s="12"/>
    </row>
    <row r="246" spans="3:3" ht="15.75" customHeight="1" x14ac:dyDescent="0.3">
      <c r="C246" s="12"/>
    </row>
    <row r="247" spans="3:3" ht="15.75" customHeight="1" x14ac:dyDescent="0.3">
      <c r="C247" s="12"/>
    </row>
    <row r="248" spans="3:3" ht="15.75" customHeight="1" x14ac:dyDescent="0.3">
      <c r="C248" s="12"/>
    </row>
    <row r="249" spans="3:3" ht="15.75" customHeight="1" x14ac:dyDescent="0.3">
      <c r="C249" s="12"/>
    </row>
    <row r="250" spans="3:3" ht="15.75" customHeight="1" x14ac:dyDescent="0.3">
      <c r="C250" s="12"/>
    </row>
    <row r="251" spans="3:3" ht="15.75" customHeight="1" x14ac:dyDescent="0.3">
      <c r="C251" s="12"/>
    </row>
    <row r="252" spans="3:3" ht="15.75" customHeight="1" x14ac:dyDescent="0.3">
      <c r="C252" s="12"/>
    </row>
    <row r="253" spans="3:3" ht="15.75" customHeight="1" x14ac:dyDescent="0.3">
      <c r="C253" s="12"/>
    </row>
    <row r="254" spans="3:3" ht="15.75" customHeight="1" x14ac:dyDescent="0.3">
      <c r="C254" s="12"/>
    </row>
    <row r="255" spans="3:3" ht="15.75" customHeight="1" x14ac:dyDescent="0.3">
      <c r="C255" s="12"/>
    </row>
    <row r="256" spans="3:3" ht="15.75" customHeight="1" x14ac:dyDescent="0.3">
      <c r="C256" s="12"/>
    </row>
    <row r="257" spans="3:3" ht="15.75" customHeight="1" x14ac:dyDescent="0.3">
      <c r="C257" s="12"/>
    </row>
    <row r="258" spans="3:3" ht="15.75" customHeight="1" x14ac:dyDescent="0.3">
      <c r="C258" s="12"/>
    </row>
    <row r="259" spans="3:3" ht="15.75" customHeight="1" x14ac:dyDescent="0.3">
      <c r="C259" s="12"/>
    </row>
    <row r="260" spans="3:3" ht="15.75" customHeight="1" x14ac:dyDescent="0.3">
      <c r="C260" s="12"/>
    </row>
    <row r="261" spans="3:3" ht="15.75" customHeight="1" x14ac:dyDescent="0.3">
      <c r="C261" s="12"/>
    </row>
    <row r="262" spans="3:3" ht="15.75" customHeight="1" x14ac:dyDescent="0.3">
      <c r="C262" s="12"/>
    </row>
    <row r="263" spans="3:3" ht="15.75" customHeight="1" x14ac:dyDescent="0.3">
      <c r="C263" s="12"/>
    </row>
    <row r="264" spans="3:3" ht="15.75" customHeight="1" x14ac:dyDescent="0.3">
      <c r="C264" s="12"/>
    </row>
    <row r="265" spans="3:3" ht="15.75" customHeight="1" x14ac:dyDescent="0.3">
      <c r="C265" s="12"/>
    </row>
    <row r="266" spans="3:3" ht="15.75" customHeight="1" x14ac:dyDescent="0.3">
      <c r="C266" s="12"/>
    </row>
    <row r="267" spans="3:3" ht="15.75" customHeight="1" x14ac:dyDescent="0.3">
      <c r="C267" s="12"/>
    </row>
    <row r="268" spans="3:3" ht="15.75" customHeight="1" x14ac:dyDescent="0.3">
      <c r="C268" s="12"/>
    </row>
    <row r="269" spans="3:3" ht="15.75" customHeight="1" x14ac:dyDescent="0.3">
      <c r="C269" s="12"/>
    </row>
    <row r="270" spans="3:3" ht="15.75" customHeight="1" x14ac:dyDescent="0.3">
      <c r="C270" s="12"/>
    </row>
    <row r="271" spans="3:3" ht="15.75" customHeight="1" x14ac:dyDescent="0.3">
      <c r="C271" s="12"/>
    </row>
    <row r="272" spans="3:3" ht="15.75" customHeight="1" x14ac:dyDescent="0.3">
      <c r="C272" s="12"/>
    </row>
    <row r="273" spans="3:3" ht="15.75" customHeight="1" x14ac:dyDescent="0.3">
      <c r="C273" s="12"/>
    </row>
    <row r="274" spans="3:3" ht="15.75" customHeight="1" x14ac:dyDescent="0.3">
      <c r="C274" s="12"/>
    </row>
    <row r="275" spans="3:3" ht="15.75" customHeight="1" x14ac:dyDescent="0.3">
      <c r="C275" s="12"/>
    </row>
    <row r="276" spans="3:3" ht="15.75" customHeight="1" x14ac:dyDescent="0.3">
      <c r="C276" s="12"/>
    </row>
    <row r="277" spans="3:3" ht="15.75" customHeight="1" x14ac:dyDescent="0.3">
      <c r="C277" s="12"/>
    </row>
    <row r="278" spans="3:3" ht="15.75" customHeight="1" x14ac:dyDescent="0.3">
      <c r="C278" s="12"/>
    </row>
    <row r="279" spans="3:3" ht="15.75" customHeight="1" x14ac:dyDescent="0.3">
      <c r="C279" s="12"/>
    </row>
    <row r="280" spans="3:3" ht="15.75" customHeight="1" x14ac:dyDescent="0.3">
      <c r="C280" s="12"/>
    </row>
    <row r="281" spans="3:3" ht="15.75" customHeight="1" x14ac:dyDescent="0.3">
      <c r="C281" s="12"/>
    </row>
    <row r="282" spans="3:3" ht="15.75" customHeight="1" x14ac:dyDescent="0.3">
      <c r="C282" s="12"/>
    </row>
    <row r="283" spans="3:3" ht="15.75" customHeight="1" x14ac:dyDescent="0.3">
      <c r="C283" s="12"/>
    </row>
    <row r="284" spans="3:3" ht="15.75" customHeight="1" x14ac:dyDescent="0.3">
      <c r="C284" s="12"/>
    </row>
    <row r="285" spans="3:3" ht="15.75" customHeight="1" x14ac:dyDescent="0.3">
      <c r="C285" s="12"/>
    </row>
    <row r="286" spans="3:3" ht="15.75" customHeight="1" x14ac:dyDescent="0.3">
      <c r="C286" s="12"/>
    </row>
    <row r="287" spans="3:3" ht="15.75" customHeight="1" x14ac:dyDescent="0.3">
      <c r="C287" s="12"/>
    </row>
    <row r="288" spans="3:3" ht="15.75" customHeight="1" x14ac:dyDescent="0.3">
      <c r="C288" s="12"/>
    </row>
    <row r="289" spans="3:3" ht="15.75" customHeight="1" x14ac:dyDescent="0.3">
      <c r="C289" s="12"/>
    </row>
    <row r="290" spans="3:3" ht="15.75" customHeight="1" x14ac:dyDescent="0.3">
      <c r="C290" s="12"/>
    </row>
    <row r="291" spans="3:3" ht="15.75" customHeight="1" x14ac:dyDescent="0.3">
      <c r="C291" s="12"/>
    </row>
    <row r="292" spans="3:3" ht="15.75" customHeight="1" x14ac:dyDescent="0.3">
      <c r="C292" s="12"/>
    </row>
    <row r="293" spans="3:3" ht="15.75" customHeight="1" x14ac:dyDescent="0.3">
      <c r="C293" s="12"/>
    </row>
    <row r="294" spans="3:3" ht="15.75" customHeight="1" x14ac:dyDescent="0.3">
      <c r="C294" s="12"/>
    </row>
    <row r="295" spans="3:3" ht="15.75" customHeight="1" x14ac:dyDescent="0.3">
      <c r="C295" s="12"/>
    </row>
    <row r="296" spans="3:3" ht="15.75" customHeight="1" x14ac:dyDescent="0.3">
      <c r="C296" s="12"/>
    </row>
    <row r="297" spans="3:3" ht="15.75" customHeight="1" x14ac:dyDescent="0.3">
      <c r="C297" s="12"/>
    </row>
    <row r="298" spans="3:3" ht="15.75" customHeight="1" x14ac:dyDescent="0.3">
      <c r="C298" s="12"/>
    </row>
    <row r="299" spans="3:3" ht="15.75" customHeight="1" x14ac:dyDescent="0.3">
      <c r="C299" s="12"/>
    </row>
    <row r="300" spans="3:3" ht="15.75" customHeight="1" x14ac:dyDescent="0.3">
      <c r="C300" s="12"/>
    </row>
    <row r="301" spans="3:3" ht="15.75" customHeight="1" x14ac:dyDescent="0.3">
      <c r="C301" s="12"/>
    </row>
    <row r="302" spans="3:3" ht="15.75" customHeight="1" x14ac:dyDescent="0.3">
      <c r="C302" s="12"/>
    </row>
    <row r="303" spans="3:3" ht="15.75" customHeight="1" x14ac:dyDescent="0.3">
      <c r="C303" s="12"/>
    </row>
    <row r="304" spans="3:3" ht="15.75" customHeight="1" x14ac:dyDescent="0.3">
      <c r="C304" s="12"/>
    </row>
    <row r="305" spans="3:3" ht="15.75" customHeight="1" x14ac:dyDescent="0.3">
      <c r="C305" s="12"/>
    </row>
    <row r="306" spans="3:3" ht="15.75" customHeight="1" x14ac:dyDescent="0.3">
      <c r="C306" s="12"/>
    </row>
    <row r="307" spans="3:3" ht="15.75" customHeight="1" x14ac:dyDescent="0.3">
      <c r="C307" s="12"/>
    </row>
    <row r="308" spans="3:3" ht="15.75" customHeight="1" x14ac:dyDescent="0.3">
      <c r="C308" s="12"/>
    </row>
    <row r="309" spans="3:3" ht="15.75" customHeight="1" x14ac:dyDescent="0.3">
      <c r="C309" s="12"/>
    </row>
    <row r="310" spans="3:3" ht="15.75" customHeight="1" x14ac:dyDescent="0.3">
      <c r="C310" s="12"/>
    </row>
    <row r="311" spans="3:3" ht="15.75" customHeight="1" x14ac:dyDescent="0.3">
      <c r="C311" s="12"/>
    </row>
    <row r="312" spans="3:3" ht="15.75" customHeight="1" x14ac:dyDescent="0.3">
      <c r="C312" s="12"/>
    </row>
    <row r="313" spans="3:3" ht="15.75" customHeight="1" x14ac:dyDescent="0.3">
      <c r="C313" s="12"/>
    </row>
    <row r="314" spans="3:3" ht="15.75" customHeight="1" x14ac:dyDescent="0.3">
      <c r="C314" s="12"/>
    </row>
    <row r="315" spans="3:3" ht="15.75" customHeight="1" x14ac:dyDescent="0.3">
      <c r="C315" s="12"/>
    </row>
    <row r="316" spans="3:3" ht="15.75" customHeight="1" x14ac:dyDescent="0.3">
      <c r="C316" s="12"/>
    </row>
    <row r="317" spans="3:3" ht="15.75" customHeight="1" x14ac:dyDescent="0.3">
      <c r="C317" s="12"/>
    </row>
    <row r="318" spans="3:3" ht="15.75" customHeight="1" x14ac:dyDescent="0.3">
      <c r="C318" s="12"/>
    </row>
    <row r="319" spans="3:3" ht="15.75" customHeight="1" x14ac:dyDescent="0.3">
      <c r="C319" s="12"/>
    </row>
    <row r="320" spans="3:3" ht="15.75" customHeight="1" x14ac:dyDescent="0.3">
      <c r="C320" s="12"/>
    </row>
    <row r="321" spans="3:3" ht="15.75" customHeight="1" x14ac:dyDescent="0.3">
      <c r="C321" s="12"/>
    </row>
    <row r="322" spans="3:3" ht="15.75" customHeight="1" x14ac:dyDescent="0.3">
      <c r="C322" s="12"/>
    </row>
    <row r="323" spans="3:3" ht="15.75" customHeight="1" x14ac:dyDescent="0.3">
      <c r="C323" s="12"/>
    </row>
    <row r="324" spans="3:3" ht="15.75" customHeight="1" x14ac:dyDescent="0.3">
      <c r="C324" s="12"/>
    </row>
    <row r="325" spans="3:3" ht="15.75" customHeight="1" x14ac:dyDescent="0.3">
      <c r="C325" s="12"/>
    </row>
    <row r="326" spans="3:3" ht="15.75" customHeight="1" x14ac:dyDescent="0.3">
      <c r="C326" s="12"/>
    </row>
    <row r="327" spans="3:3" ht="15.75" customHeight="1" x14ac:dyDescent="0.3">
      <c r="C327" s="12"/>
    </row>
    <row r="328" spans="3:3" ht="15.75" customHeight="1" x14ac:dyDescent="0.3">
      <c r="C328" s="12"/>
    </row>
    <row r="329" spans="3:3" ht="15.75" customHeight="1" x14ac:dyDescent="0.3">
      <c r="C329" s="12"/>
    </row>
    <row r="330" spans="3:3" ht="15.75" customHeight="1" x14ac:dyDescent="0.3">
      <c r="C330" s="12"/>
    </row>
    <row r="331" spans="3:3" ht="15.75" customHeight="1" x14ac:dyDescent="0.3">
      <c r="C331" s="12"/>
    </row>
    <row r="332" spans="3:3" ht="15.75" customHeight="1" x14ac:dyDescent="0.3">
      <c r="C332" s="12"/>
    </row>
    <row r="333" spans="3:3" ht="15.75" customHeight="1" x14ac:dyDescent="0.3">
      <c r="C333" s="12"/>
    </row>
    <row r="334" spans="3:3" ht="15.75" customHeight="1" x14ac:dyDescent="0.3">
      <c r="C334" s="12"/>
    </row>
    <row r="335" spans="3:3" ht="15.75" customHeight="1" x14ac:dyDescent="0.3">
      <c r="C335" s="12"/>
    </row>
    <row r="336" spans="3:3" ht="15.75" customHeight="1" x14ac:dyDescent="0.3">
      <c r="C336" s="12"/>
    </row>
    <row r="337" spans="3:3" ht="15.75" customHeight="1" x14ac:dyDescent="0.3">
      <c r="C337" s="12"/>
    </row>
    <row r="338" spans="3:3" ht="15.75" customHeight="1" x14ac:dyDescent="0.3">
      <c r="C338" s="12"/>
    </row>
    <row r="339" spans="3:3" ht="15.75" customHeight="1" x14ac:dyDescent="0.3">
      <c r="C339" s="12"/>
    </row>
    <row r="340" spans="3:3" ht="15.75" customHeight="1" x14ac:dyDescent="0.3">
      <c r="C340" s="12"/>
    </row>
    <row r="341" spans="3:3" ht="15.75" customHeight="1" x14ac:dyDescent="0.3">
      <c r="C341" s="12"/>
    </row>
    <row r="342" spans="3:3" ht="15.75" customHeight="1" x14ac:dyDescent="0.3">
      <c r="C342" s="12"/>
    </row>
    <row r="343" spans="3:3" ht="15.75" customHeight="1" x14ac:dyDescent="0.3">
      <c r="C343" s="12"/>
    </row>
    <row r="344" spans="3:3" ht="15.75" customHeight="1" x14ac:dyDescent="0.3">
      <c r="C344" s="12"/>
    </row>
    <row r="345" spans="3:3" ht="15.75" customHeight="1" x14ac:dyDescent="0.3">
      <c r="C345" s="12"/>
    </row>
    <row r="346" spans="3:3" ht="15.75" customHeight="1" x14ac:dyDescent="0.3">
      <c r="C346" s="12"/>
    </row>
    <row r="347" spans="3:3" ht="15.75" customHeight="1" x14ac:dyDescent="0.3">
      <c r="C347" s="12"/>
    </row>
    <row r="348" spans="3:3" ht="15.75" customHeight="1" x14ac:dyDescent="0.3">
      <c r="C348" s="12"/>
    </row>
    <row r="349" spans="3:3" ht="15.75" customHeight="1" x14ac:dyDescent="0.3">
      <c r="C349" s="12"/>
    </row>
    <row r="350" spans="3:3" ht="15.75" customHeight="1" x14ac:dyDescent="0.3">
      <c r="C350" s="12"/>
    </row>
    <row r="351" spans="3:3" ht="15.75" customHeight="1" x14ac:dyDescent="0.3">
      <c r="C351" s="12"/>
    </row>
    <row r="352" spans="3:3" ht="15.75" customHeight="1" x14ac:dyDescent="0.3">
      <c r="C352" s="12"/>
    </row>
    <row r="353" spans="3:3" ht="15.75" customHeight="1" x14ac:dyDescent="0.3">
      <c r="C353" s="12"/>
    </row>
    <row r="354" spans="3:3" ht="15.75" customHeight="1" x14ac:dyDescent="0.3">
      <c r="C354" s="12"/>
    </row>
    <row r="355" spans="3:3" ht="15.75" customHeight="1" x14ac:dyDescent="0.3">
      <c r="C355" s="12"/>
    </row>
    <row r="356" spans="3:3" ht="15.75" customHeight="1" x14ac:dyDescent="0.3">
      <c r="C356" s="12"/>
    </row>
    <row r="357" spans="3:3" ht="15.75" customHeight="1" x14ac:dyDescent="0.3">
      <c r="C357" s="12"/>
    </row>
    <row r="358" spans="3:3" ht="15.75" customHeight="1" x14ac:dyDescent="0.3">
      <c r="C358" s="12"/>
    </row>
    <row r="359" spans="3:3" ht="15.75" customHeight="1" x14ac:dyDescent="0.3">
      <c r="C359" s="12"/>
    </row>
    <row r="360" spans="3:3" ht="15.75" customHeight="1" x14ac:dyDescent="0.3">
      <c r="C360" s="12"/>
    </row>
    <row r="361" spans="3:3" ht="15.75" customHeight="1" x14ac:dyDescent="0.3">
      <c r="C361" s="12"/>
    </row>
    <row r="362" spans="3:3" ht="15.75" customHeight="1" x14ac:dyDescent="0.3">
      <c r="C362" s="12"/>
    </row>
    <row r="363" spans="3:3" ht="15.75" customHeight="1" x14ac:dyDescent="0.3">
      <c r="C363" s="12"/>
    </row>
    <row r="364" spans="3:3" ht="15.75" customHeight="1" x14ac:dyDescent="0.3">
      <c r="C364" s="12"/>
    </row>
    <row r="365" spans="3:3" ht="15.75" customHeight="1" x14ac:dyDescent="0.3">
      <c r="C365" s="12"/>
    </row>
    <row r="366" spans="3:3" ht="15.75" customHeight="1" x14ac:dyDescent="0.3">
      <c r="C366" s="12"/>
    </row>
    <row r="367" spans="3:3" ht="15.75" customHeight="1" x14ac:dyDescent="0.3">
      <c r="C367" s="12"/>
    </row>
    <row r="368" spans="3:3" ht="15.75" customHeight="1" x14ac:dyDescent="0.3">
      <c r="C368" s="12"/>
    </row>
    <row r="369" spans="3:3" ht="15.75" customHeight="1" x14ac:dyDescent="0.3">
      <c r="C369" s="12"/>
    </row>
    <row r="370" spans="3:3" ht="15.75" customHeight="1" x14ac:dyDescent="0.3">
      <c r="C370" s="12"/>
    </row>
    <row r="371" spans="3:3" ht="15.75" customHeight="1" x14ac:dyDescent="0.3">
      <c r="C371" s="12"/>
    </row>
    <row r="372" spans="3:3" ht="15.75" customHeight="1" x14ac:dyDescent="0.3">
      <c r="C372" s="12"/>
    </row>
    <row r="373" spans="3:3" ht="15.75" customHeight="1" x14ac:dyDescent="0.3">
      <c r="C373" s="12"/>
    </row>
    <row r="374" spans="3:3" ht="15.75" customHeight="1" x14ac:dyDescent="0.3">
      <c r="C374" s="12"/>
    </row>
    <row r="375" spans="3:3" ht="15.75" customHeight="1" x14ac:dyDescent="0.3">
      <c r="C375" s="12"/>
    </row>
    <row r="376" spans="3:3" ht="15.75" customHeight="1" x14ac:dyDescent="0.3">
      <c r="C376" s="12"/>
    </row>
    <row r="377" spans="3:3" ht="15.75" customHeight="1" x14ac:dyDescent="0.3">
      <c r="C377" s="12"/>
    </row>
    <row r="378" spans="3:3" ht="15.75" customHeight="1" x14ac:dyDescent="0.3">
      <c r="C378" s="12"/>
    </row>
    <row r="379" spans="3:3" ht="15.75" customHeight="1" x14ac:dyDescent="0.3">
      <c r="C379" s="12"/>
    </row>
    <row r="380" spans="3:3" ht="15.75" customHeight="1" x14ac:dyDescent="0.3">
      <c r="C380" s="12"/>
    </row>
    <row r="381" spans="3:3" ht="15.75" customHeight="1" x14ac:dyDescent="0.3">
      <c r="C381" s="12"/>
    </row>
    <row r="382" spans="3:3" ht="15.75" customHeight="1" x14ac:dyDescent="0.3">
      <c r="C382" s="12"/>
    </row>
    <row r="383" spans="3:3" ht="15.75" customHeight="1" x14ac:dyDescent="0.3">
      <c r="C383" s="12"/>
    </row>
    <row r="384" spans="3:3" ht="15.75" customHeight="1" x14ac:dyDescent="0.3">
      <c r="C384" s="12"/>
    </row>
    <row r="385" spans="3:3" ht="15.75" customHeight="1" x14ac:dyDescent="0.3">
      <c r="C385" s="12"/>
    </row>
    <row r="386" spans="3:3" ht="15.75" customHeight="1" x14ac:dyDescent="0.3">
      <c r="C386" s="12"/>
    </row>
    <row r="387" spans="3:3" ht="15.75" customHeight="1" x14ac:dyDescent="0.3">
      <c r="C387" s="12"/>
    </row>
    <row r="388" spans="3:3" ht="15.75" customHeight="1" x14ac:dyDescent="0.3">
      <c r="C388" s="12"/>
    </row>
    <row r="389" spans="3:3" ht="15.75" customHeight="1" x14ac:dyDescent="0.3">
      <c r="C389" s="12"/>
    </row>
    <row r="390" spans="3:3" ht="15.75" customHeight="1" x14ac:dyDescent="0.3">
      <c r="C390" s="12"/>
    </row>
    <row r="391" spans="3:3" ht="15.75" customHeight="1" x14ac:dyDescent="0.3">
      <c r="C391" s="12"/>
    </row>
    <row r="392" spans="3:3" ht="15.75" customHeight="1" x14ac:dyDescent="0.3">
      <c r="C392" s="12"/>
    </row>
    <row r="393" spans="3:3" ht="15.75" customHeight="1" x14ac:dyDescent="0.3">
      <c r="C393" s="12"/>
    </row>
    <row r="394" spans="3:3" ht="15.75" customHeight="1" x14ac:dyDescent="0.3">
      <c r="C394" s="12"/>
    </row>
    <row r="395" spans="3:3" ht="15.75" customHeight="1" x14ac:dyDescent="0.3">
      <c r="C395" s="12"/>
    </row>
    <row r="396" spans="3:3" ht="15.75" customHeight="1" x14ac:dyDescent="0.3">
      <c r="C396" s="12"/>
    </row>
    <row r="397" spans="3:3" ht="15.75" customHeight="1" x14ac:dyDescent="0.3">
      <c r="C397" s="12"/>
    </row>
    <row r="398" spans="3:3" ht="15.75" customHeight="1" x14ac:dyDescent="0.3">
      <c r="C398" s="12"/>
    </row>
    <row r="399" spans="3:3" ht="15.75" customHeight="1" x14ac:dyDescent="0.3">
      <c r="C399" s="12"/>
    </row>
    <row r="400" spans="3:3" ht="15.75" customHeight="1" x14ac:dyDescent="0.3">
      <c r="C400" s="12"/>
    </row>
    <row r="401" spans="3:3" ht="15.75" customHeight="1" x14ac:dyDescent="0.3">
      <c r="C401" s="12"/>
    </row>
    <row r="402" spans="3:3" ht="15.75" customHeight="1" x14ac:dyDescent="0.3">
      <c r="C402" s="12"/>
    </row>
    <row r="403" spans="3:3" ht="15.75" customHeight="1" x14ac:dyDescent="0.3">
      <c r="C403" s="12"/>
    </row>
    <row r="404" spans="3:3" ht="15.75" customHeight="1" x14ac:dyDescent="0.3">
      <c r="C404" s="12"/>
    </row>
    <row r="405" spans="3:3" ht="15.75" customHeight="1" x14ac:dyDescent="0.3">
      <c r="C405" s="12"/>
    </row>
    <row r="406" spans="3:3" ht="15.75" customHeight="1" x14ac:dyDescent="0.3">
      <c r="C406" s="12"/>
    </row>
    <row r="407" spans="3:3" ht="15.75" customHeight="1" x14ac:dyDescent="0.3">
      <c r="C407" s="12"/>
    </row>
    <row r="408" spans="3:3" ht="15.75" customHeight="1" x14ac:dyDescent="0.3">
      <c r="C408" s="12"/>
    </row>
    <row r="409" spans="3:3" ht="15.75" customHeight="1" x14ac:dyDescent="0.3">
      <c r="C409" s="12"/>
    </row>
    <row r="410" spans="3:3" ht="15.75" customHeight="1" x14ac:dyDescent="0.3">
      <c r="C410" s="12"/>
    </row>
    <row r="411" spans="3:3" ht="15.75" customHeight="1" x14ac:dyDescent="0.3">
      <c r="C411" s="12"/>
    </row>
    <row r="412" spans="3:3" ht="15.75" customHeight="1" x14ac:dyDescent="0.3">
      <c r="C412" s="12"/>
    </row>
    <row r="413" spans="3:3" ht="15.75" customHeight="1" x14ac:dyDescent="0.3">
      <c r="C413" s="12"/>
    </row>
    <row r="414" spans="3:3" ht="15.75" customHeight="1" x14ac:dyDescent="0.3">
      <c r="C414" s="12"/>
    </row>
    <row r="415" spans="3:3" ht="15.75" customHeight="1" x14ac:dyDescent="0.3">
      <c r="C415" s="12"/>
    </row>
    <row r="416" spans="3:3" ht="15.75" customHeight="1" x14ac:dyDescent="0.3">
      <c r="C416" s="12"/>
    </row>
    <row r="417" spans="3:3" ht="15.75" customHeight="1" x14ac:dyDescent="0.3">
      <c r="C417" s="12"/>
    </row>
    <row r="418" spans="3:3" ht="15.75" customHeight="1" x14ac:dyDescent="0.3">
      <c r="C418" s="12"/>
    </row>
    <row r="419" spans="3:3" ht="15.75" customHeight="1" x14ac:dyDescent="0.3">
      <c r="C419" s="12"/>
    </row>
    <row r="420" spans="3:3" ht="15.75" customHeight="1" x14ac:dyDescent="0.3">
      <c r="C420" s="12"/>
    </row>
    <row r="421" spans="3:3" ht="15.75" customHeight="1" x14ac:dyDescent="0.3">
      <c r="C421" s="12"/>
    </row>
    <row r="422" spans="3:3" ht="15.75" customHeight="1" x14ac:dyDescent="0.3">
      <c r="C422" s="12"/>
    </row>
    <row r="423" spans="3:3" ht="15.75" customHeight="1" x14ac:dyDescent="0.3">
      <c r="C423" s="12"/>
    </row>
    <row r="424" spans="3:3" ht="15.75" customHeight="1" x14ac:dyDescent="0.3">
      <c r="C424" s="12"/>
    </row>
    <row r="425" spans="3:3" ht="15.75" customHeight="1" x14ac:dyDescent="0.3">
      <c r="C425" s="12"/>
    </row>
    <row r="426" spans="3:3" ht="15.75" customHeight="1" x14ac:dyDescent="0.3">
      <c r="C426" s="12"/>
    </row>
    <row r="427" spans="3:3" ht="15.75" customHeight="1" x14ac:dyDescent="0.3">
      <c r="C427" s="12"/>
    </row>
    <row r="428" spans="3:3" ht="15.75" customHeight="1" x14ac:dyDescent="0.3">
      <c r="C428" s="12"/>
    </row>
    <row r="429" spans="3:3" ht="15.75" customHeight="1" x14ac:dyDescent="0.3">
      <c r="C429" s="12"/>
    </row>
    <row r="430" spans="3:3" ht="15.75" customHeight="1" x14ac:dyDescent="0.3">
      <c r="C430" s="12"/>
    </row>
    <row r="431" spans="3:3" ht="15.75" customHeight="1" x14ac:dyDescent="0.3">
      <c r="C431" s="12"/>
    </row>
    <row r="432" spans="3:3" ht="15.75" customHeight="1" x14ac:dyDescent="0.3">
      <c r="C432" s="12"/>
    </row>
    <row r="433" spans="3:3" ht="15.75" customHeight="1" x14ac:dyDescent="0.3">
      <c r="C433" s="12"/>
    </row>
    <row r="434" spans="3:3" ht="15.75" customHeight="1" x14ac:dyDescent="0.3">
      <c r="C434" s="12"/>
    </row>
    <row r="435" spans="3:3" ht="15.75" customHeight="1" x14ac:dyDescent="0.3">
      <c r="C435" s="12"/>
    </row>
    <row r="436" spans="3:3" ht="15.75" customHeight="1" x14ac:dyDescent="0.3">
      <c r="C436" s="12"/>
    </row>
    <row r="437" spans="3:3" ht="15.75" customHeight="1" x14ac:dyDescent="0.3">
      <c r="C437" s="12"/>
    </row>
    <row r="438" spans="3:3" ht="15.75" customHeight="1" x14ac:dyDescent="0.3">
      <c r="C438" s="12"/>
    </row>
    <row r="439" spans="3:3" ht="15.75" customHeight="1" x14ac:dyDescent="0.3">
      <c r="C439" s="12"/>
    </row>
    <row r="440" spans="3:3" ht="15.75" customHeight="1" x14ac:dyDescent="0.3">
      <c r="C440" s="12"/>
    </row>
    <row r="441" spans="3:3" ht="15.75" customHeight="1" x14ac:dyDescent="0.3">
      <c r="C441" s="12"/>
    </row>
    <row r="442" spans="3:3" ht="15.75" customHeight="1" x14ac:dyDescent="0.3">
      <c r="C442" s="12"/>
    </row>
    <row r="443" spans="3:3" ht="15.75" customHeight="1" x14ac:dyDescent="0.3">
      <c r="C443" s="12"/>
    </row>
    <row r="444" spans="3:3" ht="15.75" customHeight="1" x14ac:dyDescent="0.3">
      <c r="C444" s="12"/>
    </row>
    <row r="445" spans="3:3" ht="15.75" customHeight="1" x14ac:dyDescent="0.3">
      <c r="C445" s="12"/>
    </row>
    <row r="446" spans="3:3" ht="15.75" customHeight="1" x14ac:dyDescent="0.3">
      <c r="C446" s="12"/>
    </row>
    <row r="447" spans="3:3" ht="15.75" customHeight="1" x14ac:dyDescent="0.3">
      <c r="C447" s="12"/>
    </row>
    <row r="448" spans="3:3" ht="15.75" customHeight="1" x14ac:dyDescent="0.3">
      <c r="C448" s="12"/>
    </row>
    <row r="449" spans="3:3" ht="15.75" customHeight="1" x14ac:dyDescent="0.3">
      <c r="C449" s="12"/>
    </row>
    <row r="450" spans="3:3" ht="15.75" customHeight="1" x14ac:dyDescent="0.3">
      <c r="C450" s="12"/>
    </row>
    <row r="451" spans="3:3" ht="15.75" customHeight="1" x14ac:dyDescent="0.3">
      <c r="C451" s="12"/>
    </row>
    <row r="452" spans="3:3" ht="15.75" customHeight="1" x14ac:dyDescent="0.3">
      <c r="C452" s="12"/>
    </row>
    <row r="453" spans="3:3" ht="15.75" customHeight="1" x14ac:dyDescent="0.3">
      <c r="C453" s="12"/>
    </row>
    <row r="454" spans="3:3" ht="15.75" customHeight="1" x14ac:dyDescent="0.3">
      <c r="C454" s="12"/>
    </row>
    <row r="455" spans="3:3" ht="15.75" customHeight="1" x14ac:dyDescent="0.3">
      <c r="C455" s="12"/>
    </row>
    <row r="456" spans="3:3" ht="15.75" customHeight="1" x14ac:dyDescent="0.3">
      <c r="C456" s="12"/>
    </row>
    <row r="457" spans="3:3" ht="15.75" customHeight="1" x14ac:dyDescent="0.3">
      <c r="C457" s="12"/>
    </row>
    <row r="458" spans="3:3" ht="15.75" customHeight="1" x14ac:dyDescent="0.3">
      <c r="C458" s="12"/>
    </row>
    <row r="459" spans="3:3" ht="15.75" customHeight="1" x14ac:dyDescent="0.3">
      <c r="C459" s="12"/>
    </row>
    <row r="460" spans="3:3" ht="15.75" customHeight="1" x14ac:dyDescent="0.3">
      <c r="C460" s="12"/>
    </row>
    <row r="461" spans="3:3" ht="15.75" customHeight="1" x14ac:dyDescent="0.3">
      <c r="C461" s="12"/>
    </row>
    <row r="462" spans="3:3" ht="15.75" customHeight="1" x14ac:dyDescent="0.3">
      <c r="C462" s="12"/>
    </row>
    <row r="463" spans="3:3" ht="15.75" customHeight="1" x14ac:dyDescent="0.3">
      <c r="C463" s="12"/>
    </row>
    <row r="464" spans="3:3" ht="15.75" customHeight="1" x14ac:dyDescent="0.3">
      <c r="C464" s="12"/>
    </row>
    <row r="465" spans="3:3" ht="15.75" customHeight="1" x14ac:dyDescent="0.3">
      <c r="C465" s="12"/>
    </row>
    <row r="466" spans="3:3" ht="15.75" customHeight="1" x14ac:dyDescent="0.3">
      <c r="C466" s="12"/>
    </row>
    <row r="467" spans="3:3" ht="15.75" customHeight="1" x14ac:dyDescent="0.3">
      <c r="C467" s="12"/>
    </row>
    <row r="468" spans="3:3" ht="15.75" customHeight="1" x14ac:dyDescent="0.3">
      <c r="C468" s="12"/>
    </row>
    <row r="469" spans="3:3" ht="15.75" customHeight="1" x14ac:dyDescent="0.3">
      <c r="C469" s="12"/>
    </row>
    <row r="470" spans="3:3" ht="15.75" customHeight="1" x14ac:dyDescent="0.3">
      <c r="C470" s="12"/>
    </row>
    <row r="471" spans="3:3" ht="15.75" customHeight="1" x14ac:dyDescent="0.3">
      <c r="C471" s="12"/>
    </row>
    <row r="472" spans="3:3" ht="15.75" customHeight="1" x14ac:dyDescent="0.3">
      <c r="C472" s="12"/>
    </row>
    <row r="473" spans="3:3" ht="15.75" customHeight="1" x14ac:dyDescent="0.3">
      <c r="C473" s="12"/>
    </row>
    <row r="474" spans="3:3" ht="15.75" customHeight="1" x14ac:dyDescent="0.3">
      <c r="C474" s="12"/>
    </row>
    <row r="475" spans="3:3" ht="15.75" customHeight="1" x14ac:dyDescent="0.3">
      <c r="C475" s="12"/>
    </row>
    <row r="476" spans="3:3" ht="15.75" customHeight="1" x14ac:dyDescent="0.3">
      <c r="C476" s="12"/>
    </row>
    <row r="477" spans="3:3" ht="15.75" customHeight="1" x14ac:dyDescent="0.3">
      <c r="C477" s="12"/>
    </row>
    <row r="478" spans="3:3" ht="15.75" customHeight="1" x14ac:dyDescent="0.3">
      <c r="C478" s="12"/>
    </row>
    <row r="479" spans="3:3" ht="15.75" customHeight="1" x14ac:dyDescent="0.3">
      <c r="C479" s="12"/>
    </row>
    <row r="480" spans="3:3" ht="15.75" customHeight="1" x14ac:dyDescent="0.3">
      <c r="C480" s="12"/>
    </row>
    <row r="481" spans="3:3" ht="15.75" customHeight="1" x14ac:dyDescent="0.3">
      <c r="C481" s="12"/>
    </row>
    <row r="482" spans="3:3" ht="15.75" customHeight="1" x14ac:dyDescent="0.3">
      <c r="C482" s="12"/>
    </row>
    <row r="483" spans="3:3" ht="15.75" customHeight="1" x14ac:dyDescent="0.3">
      <c r="C483" s="12"/>
    </row>
    <row r="484" spans="3:3" ht="15.75" customHeight="1" x14ac:dyDescent="0.3">
      <c r="C484" s="12"/>
    </row>
    <row r="485" spans="3:3" ht="15.75" customHeight="1" x14ac:dyDescent="0.3">
      <c r="C485" s="12"/>
    </row>
    <row r="486" spans="3:3" ht="15.75" customHeight="1" x14ac:dyDescent="0.3">
      <c r="C486" s="12"/>
    </row>
    <row r="487" spans="3:3" ht="15.75" customHeight="1" x14ac:dyDescent="0.3">
      <c r="C487" s="12"/>
    </row>
    <row r="488" spans="3:3" ht="15.75" customHeight="1" x14ac:dyDescent="0.3">
      <c r="C488" s="12"/>
    </row>
    <row r="489" spans="3:3" ht="15.75" customHeight="1" x14ac:dyDescent="0.3">
      <c r="C489" s="12"/>
    </row>
    <row r="490" spans="3:3" ht="15.75" customHeight="1" x14ac:dyDescent="0.3">
      <c r="C490" s="12"/>
    </row>
    <row r="491" spans="3:3" ht="15.75" customHeight="1" x14ac:dyDescent="0.3">
      <c r="C491" s="12"/>
    </row>
    <row r="492" spans="3:3" ht="15.75" customHeight="1" x14ac:dyDescent="0.3">
      <c r="C492" s="12"/>
    </row>
    <row r="493" spans="3:3" ht="15.75" customHeight="1" x14ac:dyDescent="0.3">
      <c r="C493" s="12"/>
    </row>
    <row r="494" spans="3:3" ht="15.75" customHeight="1" x14ac:dyDescent="0.3">
      <c r="C494" s="12"/>
    </row>
    <row r="495" spans="3:3" ht="15.75" customHeight="1" x14ac:dyDescent="0.3">
      <c r="C495" s="12"/>
    </row>
    <row r="496" spans="3:3" ht="15.75" customHeight="1" x14ac:dyDescent="0.3">
      <c r="C496" s="12"/>
    </row>
    <row r="497" spans="3:3" ht="15.75" customHeight="1" x14ac:dyDescent="0.3">
      <c r="C497" s="12"/>
    </row>
    <row r="498" spans="3:3" ht="15.75" customHeight="1" x14ac:dyDescent="0.3">
      <c r="C498" s="12"/>
    </row>
    <row r="499" spans="3:3" ht="15.75" customHeight="1" x14ac:dyDescent="0.3">
      <c r="C499" s="12"/>
    </row>
    <row r="500" spans="3:3" ht="15.75" customHeight="1" x14ac:dyDescent="0.3">
      <c r="C500" s="12"/>
    </row>
    <row r="501" spans="3:3" ht="15.75" customHeight="1" x14ac:dyDescent="0.3">
      <c r="C501" s="12"/>
    </row>
    <row r="502" spans="3:3" ht="15.75" customHeight="1" x14ac:dyDescent="0.3">
      <c r="C502" s="12"/>
    </row>
    <row r="503" spans="3:3" ht="15.75" customHeight="1" x14ac:dyDescent="0.3">
      <c r="C503" s="12"/>
    </row>
    <row r="504" spans="3:3" ht="15.75" customHeight="1" x14ac:dyDescent="0.3">
      <c r="C504" s="12"/>
    </row>
    <row r="505" spans="3:3" ht="15.75" customHeight="1" x14ac:dyDescent="0.3">
      <c r="C505" s="12"/>
    </row>
    <row r="506" spans="3:3" ht="15.75" customHeight="1" x14ac:dyDescent="0.3">
      <c r="C506" s="12"/>
    </row>
    <row r="507" spans="3:3" ht="15.75" customHeight="1" x14ac:dyDescent="0.3">
      <c r="C507" s="12"/>
    </row>
    <row r="508" spans="3:3" ht="15.75" customHeight="1" x14ac:dyDescent="0.3">
      <c r="C508" s="12"/>
    </row>
    <row r="509" spans="3:3" ht="15.75" customHeight="1" x14ac:dyDescent="0.3">
      <c r="C509" s="12"/>
    </row>
    <row r="510" spans="3:3" ht="15.75" customHeight="1" x14ac:dyDescent="0.3">
      <c r="C510" s="12"/>
    </row>
    <row r="511" spans="3:3" ht="15.75" customHeight="1" x14ac:dyDescent="0.3">
      <c r="C511" s="12"/>
    </row>
    <row r="512" spans="3:3" ht="15.75" customHeight="1" x14ac:dyDescent="0.3">
      <c r="C512" s="12"/>
    </row>
    <row r="513" spans="3:3" ht="15.75" customHeight="1" x14ac:dyDescent="0.3">
      <c r="C513" s="12"/>
    </row>
    <row r="514" spans="3:3" ht="15.75" customHeight="1" x14ac:dyDescent="0.3">
      <c r="C514" s="12"/>
    </row>
    <row r="515" spans="3:3" ht="15.75" customHeight="1" x14ac:dyDescent="0.3">
      <c r="C515" s="12"/>
    </row>
    <row r="516" spans="3:3" ht="15.75" customHeight="1" x14ac:dyDescent="0.3">
      <c r="C516" s="12"/>
    </row>
    <row r="517" spans="3:3" ht="15.75" customHeight="1" x14ac:dyDescent="0.3">
      <c r="C517" s="12"/>
    </row>
    <row r="518" spans="3:3" ht="15.75" customHeight="1" x14ac:dyDescent="0.3">
      <c r="C518" s="12"/>
    </row>
    <row r="519" spans="3:3" ht="15.75" customHeight="1" x14ac:dyDescent="0.3">
      <c r="C519" s="12"/>
    </row>
    <row r="520" spans="3:3" ht="15.75" customHeight="1" x14ac:dyDescent="0.3">
      <c r="C520" s="12"/>
    </row>
    <row r="521" spans="3:3" ht="15.75" customHeight="1" x14ac:dyDescent="0.3">
      <c r="C521" s="12"/>
    </row>
    <row r="522" spans="3:3" ht="15.75" customHeight="1" x14ac:dyDescent="0.3">
      <c r="C522" s="12"/>
    </row>
    <row r="523" spans="3:3" ht="15.75" customHeight="1" x14ac:dyDescent="0.3">
      <c r="C523" s="12"/>
    </row>
    <row r="524" spans="3:3" ht="15.75" customHeight="1" x14ac:dyDescent="0.3">
      <c r="C524" s="12"/>
    </row>
    <row r="525" spans="3:3" ht="15.75" customHeight="1" x14ac:dyDescent="0.3">
      <c r="C525" s="12"/>
    </row>
    <row r="526" spans="3:3" ht="15.75" customHeight="1" x14ac:dyDescent="0.3">
      <c r="C526" s="12"/>
    </row>
    <row r="527" spans="3:3" ht="15.75" customHeight="1" x14ac:dyDescent="0.3">
      <c r="C527" s="12"/>
    </row>
    <row r="528" spans="3:3" ht="15.75" customHeight="1" x14ac:dyDescent="0.3">
      <c r="C528" s="12"/>
    </row>
    <row r="529" spans="3:3" ht="15.75" customHeight="1" x14ac:dyDescent="0.3">
      <c r="C529" s="12"/>
    </row>
    <row r="530" spans="3:3" ht="15.75" customHeight="1" x14ac:dyDescent="0.3">
      <c r="C530" s="12"/>
    </row>
    <row r="531" spans="3:3" ht="15.75" customHeight="1" x14ac:dyDescent="0.3">
      <c r="C531" s="12"/>
    </row>
    <row r="532" spans="3:3" ht="15.75" customHeight="1" x14ac:dyDescent="0.3">
      <c r="C532" s="12"/>
    </row>
    <row r="533" spans="3:3" ht="15.75" customHeight="1" x14ac:dyDescent="0.3">
      <c r="C533" s="12"/>
    </row>
    <row r="534" spans="3:3" ht="15.75" customHeight="1" x14ac:dyDescent="0.3">
      <c r="C534" s="12"/>
    </row>
    <row r="535" spans="3:3" ht="15.75" customHeight="1" x14ac:dyDescent="0.3">
      <c r="C535" s="12"/>
    </row>
    <row r="536" spans="3:3" ht="15.75" customHeight="1" x14ac:dyDescent="0.3">
      <c r="C536" s="12"/>
    </row>
    <row r="537" spans="3:3" ht="15.75" customHeight="1" x14ac:dyDescent="0.3">
      <c r="C537" s="12"/>
    </row>
    <row r="538" spans="3:3" ht="15.75" customHeight="1" x14ac:dyDescent="0.3">
      <c r="C538" s="12"/>
    </row>
    <row r="539" spans="3:3" ht="15.75" customHeight="1" x14ac:dyDescent="0.3">
      <c r="C539" s="12"/>
    </row>
    <row r="540" spans="3:3" ht="15.75" customHeight="1" x14ac:dyDescent="0.3">
      <c r="C540" s="12"/>
    </row>
    <row r="541" spans="3:3" ht="15.75" customHeight="1" x14ac:dyDescent="0.3">
      <c r="C541" s="12"/>
    </row>
    <row r="542" spans="3:3" ht="15.75" customHeight="1" x14ac:dyDescent="0.3">
      <c r="C542" s="12"/>
    </row>
    <row r="543" spans="3:3" ht="15.75" customHeight="1" x14ac:dyDescent="0.3">
      <c r="C543" s="12"/>
    </row>
    <row r="544" spans="3:3" ht="15.75" customHeight="1" x14ac:dyDescent="0.3">
      <c r="C544" s="12"/>
    </row>
    <row r="545" spans="3:3" ht="15.75" customHeight="1" x14ac:dyDescent="0.3">
      <c r="C545" s="12"/>
    </row>
    <row r="546" spans="3:3" ht="15.75" customHeight="1" x14ac:dyDescent="0.3">
      <c r="C546" s="12"/>
    </row>
    <row r="547" spans="3:3" ht="15.75" customHeight="1" x14ac:dyDescent="0.3">
      <c r="C547" s="12"/>
    </row>
    <row r="548" spans="3:3" ht="15.75" customHeight="1" x14ac:dyDescent="0.3">
      <c r="C548" s="12"/>
    </row>
    <row r="549" spans="3:3" ht="15.75" customHeight="1" x14ac:dyDescent="0.3">
      <c r="C549" s="12"/>
    </row>
    <row r="550" spans="3:3" ht="15.75" customHeight="1" x14ac:dyDescent="0.3">
      <c r="C550" s="12"/>
    </row>
    <row r="551" spans="3:3" ht="15.75" customHeight="1" x14ac:dyDescent="0.3">
      <c r="C551" s="12"/>
    </row>
    <row r="552" spans="3:3" ht="15.75" customHeight="1" x14ac:dyDescent="0.3">
      <c r="C552" s="12"/>
    </row>
    <row r="553" spans="3:3" ht="15.75" customHeight="1" x14ac:dyDescent="0.3">
      <c r="C553" s="12"/>
    </row>
    <row r="554" spans="3:3" ht="15.75" customHeight="1" x14ac:dyDescent="0.3">
      <c r="C554" s="12"/>
    </row>
    <row r="555" spans="3:3" ht="15.75" customHeight="1" x14ac:dyDescent="0.3">
      <c r="C555" s="12"/>
    </row>
    <row r="556" spans="3:3" ht="15.75" customHeight="1" x14ac:dyDescent="0.3">
      <c r="C556" s="12"/>
    </row>
    <row r="557" spans="3:3" ht="15.75" customHeight="1" x14ac:dyDescent="0.3">
      <c r="C557" s="12"/>
    </row>
    <row r="558" spans="3:3" ht="15.75" customHeight="1" x14ac:dyDescent="0.3">
      <c r="C558" s="12"/>
    </row>
    <row r="559" spans="3:3" ht="15.75" customHeight="1" x14ac:dyDescent="0.3">
      <c r="C559" s="12"/>
    </row>
    <row r="560" spans="3:3" ht="15.75" customHeight="1" x14ac:dyDescent="0.3">
      <c r="C560" s="12"/>
    </row>
    <row r="561" spans="3:3" ht="15.75" customHeight="1" x14ac:dyDescent="0.3">
      <c r="C561" s="12"/>
    </row>
    <row r="562" spans="3:3" ht="15.75" customHeight="1" x14ac:dyDescent="0.3">
      <c r="C562" s="12"/>
    </row>
    <row r="563" spans="3:3" ht="15.75" customHeight="1" x14ac:dyDescent="0.3">
      <c r="C563" s="12"/>
    </row>
    <row r="564" spans="3:3" ht="15.75" customHeight="1" x14ac:dyDescent="0.3">
      <c r="C564" s="12"/>
    </row>
    <row r="565" spans="3:3" ht="15.75" customHeight="1" x14ac:dyDescent="0.3">
      <c r="C565" s="12"/>
    </row>
    <row r="566" spans="3:3" ht="15.75" customHeight="1" x14ac:dyDescent="0.3">
      <c r="C566" s="12"/>
    </row>
    <row r="567" spans="3:3" ht="15.75" customHeight="1" x14ac:dyDescent="0.3">
      <c r="C567" s="12"/>
    </row>
    <row r="568" spans="3:3" ht="15.75" customHeight="1" x14ac:dyDescent="0.3">
      <c r="C568" s="12"/>
    </row>
    <row r="569" spans="3:3" ht="15.75" customHeight="1" x14ac:dyDescent="0.3">
      <c r="C569" s="12"/>
    </row>
    <row r="570" spans="3:3" ht="15.75" customHeight="1" x14ac:dyDescent="0.3">
      <c r="C570" s="12"/>
    </row>
    <row r="571" spans="3:3" ht="15.75" customHeight="1" x14ac:dyDescent="0.3">
      <c r="C571" s="12"/>
    </row>
    <row r="572" spans="3:3" ht="15.75" customHeight="1" x14ac:dyDescent="0.3">
      <c r="C572" s="12"/>
    </row>
    <row r="573" spans="3:3" ht="15.75" customHeight="1" x14ac:dyDescent="0.3">
      <c r="C573" s="12"/>
    </row>
    <row r="574" spans="3:3" ht="15.75" customHeight="1" x14ac:dyDescent="0.3">
      <c r="C574" s="12"/>
    </row>
    <row r="575" spans="3:3" ht="15.75" customHeight="1" x14ac:dyDescent="0.3">
      <c r="C575" s="12"/>
    </row>
    <row r="576" spans="3:3" ht="15.75" customHeight="1" x14ac:dyDescent="0.3">
      <c r="C576" s="12"/>
    </row>
    <row r="577" spans="3:3" ht="15.75" customHeight="1" x14ac:dyDescent="0.3">
      <c r="C577" s="12"/>
    </row>
    <row r="578" spans="3:3" ht="15.75" customHeight="1" x14ac:dyDescent="0.3">
      <c r="C578" s="12"/>
    </row>
    <row r="579" spans="3:3" ht="15.75" customHeight="1" x14ac:dyDescent="0.3">
      <c r="C579" s="12"/>
    </row>
    <row r="580" spans="3:3" ht="15.75" customHeight="1" x14ac:dyDescent="0.3">
      <c r="C580" s="12"/>
    </row>
    <row r="581" spans="3:3" ht="15.75" customHeight="1" x14ac:dyDescent="0.3">
      <c r="C581" s="12"/>
    </row>
    <row r="582" spans="3:3" ht="15.75" customHeight="1" x14ac:dyDescent="0.3">
      <c r="C582" s="12"/>
    </row>
    <row r="583" spans="3:3" ht="15.75" customHeight="1" x14ac:dyDescent="0.3">
      <c r="C583" s="12"/>
    </row>
    <row r="584" spans="3:3" ht="15.75" customHeight="1" x14ac:dyDescent="0.3">
      <c r="C584" s="12"/>
    </row>
    <row r="585" spans="3:3" ht="15.75" customHeight="1" x14ac:dyDescent="0.3">
      <c r="C585" s="12"/>
    </row>
    <row r="586" spans="3:3" ht="15.75" customHeight="1" x14ac:dyDescent="0.3">
      <c r="C586" s="12"/>
    </row>
    <row r="587" spans="3:3" ht="15.75" customHeight="1" x14ac:dyDescent="0.3">
      <c r="C587" s="12"/>
    </row>
    <row r="588" spans="3:3" ht="15.75" customHeight="1" x14ac:dyDescent="0.3">
      <c r="C588" s="12"/>
    </row>
    <row r="589" spans="3:3" ht="15.75" customHeight="1" x14ac:dyDescent="0.3">
      <c r="C589" s="12"/>
    </row>
    <row r="590" spans="3:3" ht="15.75" customHeight="1" x14ac:dyDescent="0.3">
      <c r="C590" s="12"/>
    </row>
    <row r="591" spans="3:3" ht="15.75" customHeight="1" x14ac:dyDescent="0.3">
      <c r="C591" s="12"/>
    </row>
    <row r="592" spans="3:3" ht="15.75" customHeight="1" x14ac:dyDescent="0.3">
      <c r="C592" s="12"/>
    </row>
    <row r="593" spans="3:3" ht="15.75" customHeight="1" x14ac:dyDescent="0.3">
      <c r="C593" s="12"/>
    </row>
    <row r="594" spans="3:3" ht="15.75" customHeight="1" x14ac:dyDescent="0.3">
      <c r="C594" s="12"/>
    </row>
    <row r="595" spans="3:3" ht="15.75" customHeight="1" x14ac:dyDescent="0.3">
      <c r="C595" s="12"/>
    </row>
    <row r="596" spans="3:3" ht="15.75" customHeight="1" x14ac:dyDescent="0.3">
      <c r="C596" s="12"/>
    </row>
    <row r="597" spans="3:3" ht="15.75" customHeight="1" x14ac:dyDescent="0.3">
      <c r="C597" s="12"/>
    </row>
    <row r="598" spans="3:3" ht="15.75" customHeight="1" x14ac:dyDescent="0.3">
      <c r="C598" s="12"/>
    </row>
    <row r="599" spans="3:3" ht="15.75" customHeight="1" x14ac:dyDescent="0.3">
      <c r="C599" s="12"/>
    </row>
    <row r="600" spans="3:3" ht="15.75" customHeight="1" x14ac:dyDescent="0.3">
      <c r="C600" s="12"/>
    </row>
    <row r="601" spans="3:3" ht="15.75" customHeight="1" x14ac:dyDescent="0.3">
      <c r="C601" s="12"/>
    </row>
    <row r="602" spans="3:3" ht="15.75" customHeight="1" x14ac:dyDescent="0.3">
      <c r="C602" s="12"/>
    </row>
    <row r="603" spans="3:3" ht="15.75" customHeight="1" x14ac:dyDescent="0.3">
      <c r="C603" s="12"/>
    </row>
    <row r="604" spans="3:3" ht="15.75" customHeight="1" x14ac:dyDescent="0.3">
      <c r="C604" s="12"/>
    </row>
    <row r="605" spans="3:3" ht="15.75" customHeight="1" x14ac:dyDescent="0.3">
      <c r="C605" s="12"/>
    </row>
    <row r="606" spans="3:3" ht="15.75" customHeight="1" x14ac:dyDescent="0.3">
      <c r="C606" s="12"/>
    </row>
    <row r="607" spans="3:3" ht="15.75" customHeight="1" x14ac:dyDescent="0.3">
      <c r="C607" s="12"/>
    </row>
    <row r="608" spans="3:3" ht="15.75" customHeight="1" x14ac:dyDescent="0.3">
      <c r="C608" s="12"/>
    </row>
    <row r="609" spans="3:3" ht="15.75" customHeight="1" x14ac:dyDescent="0.3">
      <c r="C609" s="12"/>
    </row>
    <row r="610" spans="3:3" ht="15.75" customHeight="1" x14ac:dyDescent="0.3">
      <c r="C610" s="12"/>
    </row>
    <row r="611" spans="3:3" ht="15.75" customHeight="1" x14ac:dyDescent="0.3">
      <c r="C611" s="12"/>
    </row>
    <row r="612" spans="3:3" ht="15.75" customHeight="1" x14ac:dyDescent="0.3">
      <c r="C612" s="12"/>
    </row>
    <row r="613" spans="3:3" ht="15.75" customHeight="1" x14ac:dyDescent="0.3">
      <c r="C613" s="12"/>
    </row>
    <row r="614" spans="3:3" ht="15.75" customHeight="1" x14ac:dyDescent="0.3">
      <c r="C614" s="12"/>
    </row>
    <row r="615" spans="3:3" ht="15.75" customHeight="1" x14ac:dyDescent="0.3">
      <c r="C615" s="12"/>
    </row>
    <row r="616" spans="3:3" ht="15.75" customHeight="1" x14ac:dyDescent="0.3">
      <c r="C616" s="12"/>
    </row>
    <row r="617" spans="3:3" ht="15.75" customHeight="1" x14ac:dyDescent="0.3">
      <c r="C617" s="12"/>
    </row>
    <row r="618" spans="3:3" ht="15.75" customHeight="1" x14ac:dyDescent="0.3">
      <c r="C618" s="12"/>
    </row>
    <row r="619" spans="3:3" ht="15.75" customHeight="1" x14ac:dyDescent="0.3">
      <c r="C619" s="12"/>
    </row>
    <row r="620" spans="3:3" ht="15.75" customHeight="1" x14ac:dyDescent="0.3">
      <c r="C620" s="12"/>
    </row>
    <row r="621" spans="3:3" ht="15.75" customHeight="1" x14ac:dyDescent="0.3">
      <c r="C621" s="12"/>
    </row>
    <row r="622" spans="3:3" ht="15.75" customHeight="1" x14ac:dyDescent="0.3">
      <c r="C622" s="12"/>
    </row>
    <row r="623" spans="3:3" ht="15.75" customHeight="1" x14ac:dyDescent="0.3">
      <c r="C623" s="12"/>
    </row>
    <row r="624" spans="3:3" ht="15.75" customHeight="1" x14ac:dyDescent="0.3">
      <c r="C624" s="12"/>
    </row>
    <row r="625" spans="3:3" ht="15.75" customHeight="1" x14ac:dyDescent="0.3">
      <c r="C625" s="12"/>
    </row>
    <row r="626" spans="3:3" ht="15.75" customHeight="1" x14ac:dyDescent="0.3">
      <c r="C626" s="12"/>
    </row>
    <row r="627" spans="3:3" ht="15.75" customHeight="1" x14ac:dyDescent="0.3">
      <c r="C627" s="12"/>
    </row>
    <row r="628" spans="3:3" ht="15.75" customHeight="1" x14ac:dyDescent="0.3">
      <c r="C628" s="12"/>
    </row>
    <row r="629" spans="3:3" ht="15.75" customHeight="1" x14ac:dyDescent="0.3">
      <c r="C629" s="12"/>
    </row>
    <row r="630" spans="3:3" ht="15.75" customHeight="1" x14ac:dyDescent="0.3">
      <c r="C630" s="12"/>
    </row>
    <row r="631" spans="3:3" ht="15.75" customHeight="1" x14ac:dyDescent="0.3">
      <c r="C631" s="12"/>
    </row>
    <row r="632" spans="3:3" ht="15.75" customHeight="1" x14ac:dyDescent="0.3">
      <c r="C632" s="12"/>
    </row>
    <row r="633" spans="3:3" ht="15.75" customHeight="1" x14ac:dyDescent="0.3">
      <c r="C633" s="12"/>
    </row>
    <row r="634" spans="3:3" ht="15.75" customHeight="1" x14ac:dyDescent="0.3">
      <c r="C634" s="12"/>
    </row>
    <row r="635" spans="3:3" ht="15.75" customHeight="1" x14ac:dyDescent="0.3">
      <c r="C635" s="12"/>
    </row>
    <row r="636" spans="3:3" ht="15.75" customHeight="1" x14ac:dyDescent="0.3">
      <c r="C636" s="12"/>
    </row>
    <row r="637" spans="3:3" ht="15.75" customHeight="1" x14ac:dyDescent="0.3">
      <c r="C637" s="12"/>
    </row>
    <row r="638" spans="3:3" ht="15.75" customHeight="1" x14ac:dyDescent="0.3">
      <c r="C638" s="12"/>
    </row>
    <row r="639" spans="3:3" ht="15.75" customHeight="1" x14ac:dyDescent="0.3">
      <c r="C639" s="12"/>
    </row>
    <row r="640" spans="3:3" ht="15.75" customHeight="1" x14ac:dyDescent="0.3">
      <c r="C640" s="12"/>
    </row>
    <row r="641" spans="3:3" ht="15.75" customHeight="1" x14ac:dyDescent="0.3">
      <c r="C641" s="12"/>
    </row>
    <row r="642" spans="3:3" ht="15.75" customHeight="1" x14ac:dyDescent="0.3">
      <c r="C642" s="12"/>
    </row>
    <row r="643" spans="3:3" ht="15.75" customHeight="1" x14ac:dyDescent="0.3">
      <c r="C643" s="12"/>
    </row>
    <row r="644" spans="3:3" ht="15.75" customHeight="1" x14ac:dyDescent="0.3">
      <c r="C644" s="12"/>
    </row>
    <row r="645" spans="3:3" ht="15.75" customHeight="1" x14ac:dyDescent="0.3">
      <c r="C645" s="12"/>
    </row>
    <row r="646" spans="3:3" ht="15.75" customHeight="1" x14ac:dyDescent="0.3">
      <c r="C646" s="12"/>
    </row>
    <row r="647" spans="3:3" ht="15.75" customHeight="1" x14ac:dyDescent="0.3">
      <c r="C647" s="12"/>
    </row>
    <row r="648" spans="3:3" ht="15.75" customHeight="1" x14ac:dyDescent="0.3">
      <c r="C648" s="12"/>
    </row>
    <row r="649" spans="3:3" ht="15.75" customHeight="1" x14ac:dyDescent="0.3">
      <c r="C649" s="12"/>
    </row>
    <row r="650" spans="3:3" ht="15.75" customHeight="1" x14ac:dyDescent="0.3">
      <c r="C650" s="12"/>
    </row>
    <row r="651" spans="3:3" ht="15.75" customHeight="1" x14ac:dyDescent="0.3">
      <c r="C651" s="12"/>
    </row>
    <row r="652" spans="3:3" ht="15.75" customHeight="1" x14ac:dyDescent="0.3">
      <c r="C652" s="12"/>
    </row>
    <row r="653" spans="3:3" ht="15.75" customHeight="1" x14ac:dyDescent="0.3">
      <c r="C653" s="12"/>
    </row>
    <row r="654" spans="3:3" ht="15.75" customHeight="1" x14ac:dyDescent="0.3">
      <c r="C654" s="12"/>
    </row>
    <row r="655" spans="3:3" ht="15.75" customHeight="1" x14ac:dyDescent="0.3">
      <c r="C655" s="12"/>
    </row>
    <row r="656" spans="3:3" ht="15.75" customHeight="1" x14ac:dyDescent="0.3">
      <c r="C656" s="12"/>
    </row>
    <row r="657" spans="3:3" ht="15.75" customHeight="1" x14ac:dyDescent="0.3">
      <c r="C657" s="12"/>
    </row>
    <row r="658" spans="3:3" ht="15.75" customHeight="1" x14ac:dyDescent="0.3">
      <c r="C658" s="12"/>
    </row>
    <row r="659" spans="3:3" ht="15.75" customHeight="1" x14ac:dyDescent="0.3">
      <c r="C659" s="12"/>
    </row>
    <row r="660" spans="3:3" ht="15.75" customHeight="1" x14ac:dyDescent="0.3">
      <c r="C660" s="12"/>
    </row>
    <row r="661" spans="3:3" ht="15.75" customHeight="1" x14ac:dyDescent="0.3">
      <c r="C661" s="12"/>
    </row>
    <row r="662" spans="3:3" ht="15.75" customHeight="1" x14ac:dyDescent="0.3">
      <c r="C662" s="12"/>
    </row>
    <row r="663" spans="3:3" ht="15.75" customHeight="1" x14ac:dyDescent="0.3">
      <c r="C663" s="12"/>
    </row>
    <row r="664" spans="3:3" ht="15.75" customHeight="1" x14ac:dyDescent="0.3">
      <c r="C664" s="12"/>
    </row>
    <row r="665" spans="3:3" ht="15.75" customHeight="1" x14ac:dyDescent="0.3">
      <c r="C665" s="12"/>
    </row>
    <row r="666" spans="3:3" ht="15.75" customHeight="1" x14ac:dyDescent="0.3">
      <c r="C666" s="12"/>
    </row>
    <row r="667" spans="3:3" ht="15.75" customHeight="1" x14ac:dyDescent="0.3">
      <c r="C667" s="12"/>
    </row>
    <row r="668" spans="3:3" ht="15.75" customHeight="1" x14ac:dyDescent="0.3">
      <c r="C668" s="12"/>
    </row>
    <row r="669" spans="3:3" ht="15.75" customHeight="1" x14ac:dyDescent="0.3">
      <c r="C669" s="12"/>
    </row>
    <row r="670" spans="3:3" ht="15.75" customHeight="1" x14ac:dyDescent="0.3">
      <c r="C670" s="12"/>
    </row>
    <row r="671" spans="3:3" ht="15.75" customHeight="1" x14ac:dyDescent="0.3">
      <c r="C671" s="12"/>
    </row>
    <row r="672" spans="3:3" ht="15.75" customHeight="1" x14ac:dyDescent="0.3">
      <c r="C672" s="12"/>
    </row>
    <row r="673" spans="3:3" ht="15.75" customHeight="1" x14ac:dyDescent="0.3">
      <c r="C673" s="12"/>
    </row>
    <row r="674" spans="3:3" ht="15.75" customHeight="1" x14ac:dyDescent="0.3">
      <c r="C674" s="12"/>
    </row>
    <row r="675" spans="3:3" ht="15.75" customHeight="1" x14ac:dyDescent="0.3">
      <c r="C675" s="12"/>
    </row>
    <row r="676" spans="3:3" ht="15.75" customHeight="1" x14ac:dyDescent="0.3">
      <c r="C676" s="12"/>
    </row>
    <row r="677" spans="3:3" ht="15.75" customHeight="1" x14ac:dyDescent="0.3">
      <c r="C677" s="12"/>
    </row>
    <row r="678" spans="3:3" ht="15.75" customHeight="1" x14ac:dyDescent="0.3">
      <c r="C678" s="12"/>
    </row>
    <row r="679" spans="3:3" ht="15.75" customHeight="1" x14ac:dyDescent="0.3">
      <c r="C679" s="12"/>
    </row>
    <row r="680" spans="3:3" ht="15.75" customHeight="1" x14ac:dyDescent="0.3">
      <c r="C680" s="12"/>
    </row>
    <row r="681" spans="3:3" ht="15.75" customHeight="1" x14ac:dyDescent="0.3">
      <c r="C681" s="12"/>
    </row>
    <row r="682" spans="3:3" ht="15.75" customHeight="1" x14ac:dyDescent="0.3">
      <c r="C682" s="12"/>
    </row>
    <row r="683" spans="3:3" ht="15.75" customHeight="1" x14ac:dyDescent="0.3">
      <c r="C683" s="12"/>
    </row>
    <row r="684" spans="3:3" ht="15.75" customHeight="1" x14ac:dyDescent="0.3">
      <c r="C684" s="12"/>
    </row>
    <row r="685" spans="3:3" ht="15.75" customHeight="1" x14ac:dyDescent="0.3">
      <c r="C685" s="12"/>
    </row>
    <row r="686" spans="3:3" ht="15.75" customHeight="1" x14ac:dyDescent="0.3">
      <c r="C686" s="12"/>
    </row>
    <row r="687" spans="3:3" ht="15.75" customHeight="1" x14ac:dyDescent="0.3">
      <c r="C687" s="12"/>
    </row>
    <row r="688" spans="3:3" ht="15.75" customHeight="1" x14ac:dyDescent="0.3">
      <c r="C688" s="12"/>
    </row>
    <row r="689" spans="3:3" ht="15.75" customHeight="1" x14ac:dyDescent="0.3">
      <c r="C689" s="12"/>
    </row>
    <row r="690" spans="3:3" ht="15.75" customHeight="1" x14ac:dyDescent="0.3">
      <c r="C690" s="12"/>
    </row>
    <row r="691" spans="3:3" ht="15.75" customHeight="1" x14ac:dyDescent="0.3">
      <c r="C691" s="12"/>
    </row>
    <row r="692" spans="3:3" ht="15.75" customHeight="1" x14ac:dyDescent="0.3">
      <c r="C692" s="12"/>
    </row>
    <row r="693" spans="3:3" ht="15.75" customHeight="1" x14ac:dyDescent="0.3">
      <c r="C693" s="12"/>
    </row>
    <row r="694" spans="3:3" ht="15.75" customHeight="1" x14ac:dyDescent="0.3">
      <c r="C694" s="12"/>
    </row>
    <row r="695" spans="3:3" ht="15.75" customHeight="1" x14ac:dyDescent="0.3">
      <c r="C695" s="12"/>
    </row>
    <row r="696" spans="3:3" ht="15.75" customHeight="1" x14ac:dyDescent="0.3">
      <c r="C696" s="12"/>
    </row>
    <row r="697" spans="3:3" ht="15.75" customHeight="1" x14ac:dyDescent="0.3">
      <c r="C697" s="12"/>
    </row>
    <row r="698" spans="3:3" ht="15.75" customHeight="1" x14ac:dyDescent="0.3">
      <c r="C698" s="12"/>
    </row>
    <row r="699" spans="3:3" ht="15.75" customHeight="1" x14ac:dyDescent="0.3">
      <c r="C699" s="12"/>
    </row>
    <row r="700" spans="3:3" ht="15.75" customHeight="1" x14ac:dyDescent="0.3">
      <c r="C700" s="12"/>
    </row>
    <row r="701" spans="3:3" ht="15.75" customHeight="1" x14ac:dyDescent="0.3">
      <c r="C701" s="12"/>
    </row>
    <row r="702" spans="3:3" ht="15.75" customHeight="1" x14ac:dyDescent="0.3">
      <c r="C702" s="12"/>
    </row>
    <row r="703" spans="3:3" ht="15.75" customHeight="1" x14ac:dyDescent="0.3">
      <c r="C703" s="12"/>
    </row>
    <row r="704" spans="3:3" ht="15.75" customHeight="1" x14ac:dyDescent="0.3">
      <c r="C704" s="12"/>
    </row>
    <row r="705" spans="3:3" ht="15.75" customHeight="1" x14ac:dyDescent="0.3">
      <c r="C705" s="12"/>
    </row>
    <row r="706" spans="3:3" ht="15.75" customHeight="1" x14ac:dyDescent="0.3">
      <c r="C706" s="12"/>
    </row>
    <row r="707" spans="3:3" ht="15.75" customHeight="1" x14ac:dyDescent="0.3">
      <c r="C707" s="12"/>
    </row>
    <row r="708" spans="3:3" ht="15.75" customHeight="1" x14ac:dyDescent="0.3">
      <c r="C708" s="12"/>
    </row>
    <row r="709" spans="3:3" ht="15.75" customHeight="1" x14ac:dyDescent="0.3">
      <c r="C709" s="12"/>
    </row>
    <row r="710" spans="3:3" ht="15.75" customHeight="1" x14ac:dyDescent="0.3">
      <c r="C710" s="12"/>
    </row>
    <row r="711" spans="3:3" ht="15.75" customHeight="1" x14ac:dyDescent="0.3">
      <c r="C711" s="12"/>
    </row>
    <row r="712" spans="3:3" ht="15.75" customHeight="1" x14ac:dyDescent="0.3">
      <c r="C712" s="12"/>
    </row>
    <row r="713" spans="3:3" ht="15.75" customHeight="1" x14ac:dyDescent="0.3">
      <c r="C713" s="12"/>
    </row>
    <row r="714" spans="3:3" ht="15.75" customHeight="1" x14ac:dyDescent="0.3">
      <c r="C714" s="12"/>
    </row>
    <row r="715" spans="3:3" ht="15.75" customHeight="1" x14ac:dyDescent="0.3">
      <c r="C715" s="12"/>
    </row>
    <row r="716" spans="3:3" ht="15.75" customHeight="1" x14ac:dyDescent="0.3">
      <c r="C716" s="12"/>
    </row>
    <row r="717" spans="3:3" ht="15.75" customHeight="1" x14ac:dyDescent="0.3">
      <c r="C717" s="12"/>
    </row>
    <row r="718" spans="3:3" ht="15.75" customHeight="1" x14ac:dyDescent="0.3">
      <c r="C718" s="12"/>
    </row>
    <row r="719" spans="3:3" ht="15.75" customHeight="1" x14ac:dyDescent="0.3">
      <c r="C719" s="12"/>
    </row>
    <row r="720" spans="3:3" ht="15.75" customHeight="1" x14ac:dyDescent="0.3">
      <c r="C720" s="12"/>
    </row>
    <row r="721" spans="3:3" ht="15.75" customHeight="1" x14ac:dyDescent="0.3">
      <c r="C721" s="12"/>
    </row>
    <row r="722" spans="3:3" ht="15.75" customHeight="1" x14ac:dyDescent="0.3">
      <c r="C722" s="12"/>
    </row>
    <row r="723" spans="3:3" ht="15.75" customHeight="1" x14ac:dyDescent="0.3">
      <c r="C723" s="12"/>
    </row>
    <row r="724" spans="3:3" ht="15.75" customHeight="1" x14ac:dyDescent="0.3">
      <c r="C724" s="12"/>
    </row>
    <row r="725" spans="3:3" ht="15.75" customHeight="1" x14ac:dyDescent="0.3">
      <c r="C725" s="12"/>
    </row>
    <row r="726" spans="3:3" ht="15.75" customHeight="1" x14ac:dyDescent="0.3">
      <c r="C726" s="12"/>
    </row>
    <row r="727" spans="3:3" ht="15.75" customHeight="1" x14ac:dyDescent="0.3">
      <c r="C727" s="12"/>
    </row>
    <row r="728" spans="3:3" ht="15.75" customHeight="1" x14ac:dyDescent="0.3">
      <c r="C728" s="12"/>
    </row>
    <row r="729" spans="3:3" ht="15.75" customHeight="1" x14ac:dyDescent="0.3">
      <c r="C729" s="12"/>
    </row>
    <row r="730" spans="3:3" ht="15.75" customHeight="1" x14ac:dyDescent="0.3">
      <c r="C730" s="12"/>
    </row>
    <row r="731" spans="3:3" ht="15.75" customHeight="1" x14ac:dyDescent="0.3">
      <c r="C731" s="12"/>
    </row>
    <row r="732" spans="3:3" ht="15.75" customHeight="1" x14ac:dyDescent="0.3">
      <c r="C732" s="12"/>
    </row>
    <row r="733" spans="3:3" ht="15.75" customHeight="1" x14ac:dyDescent="0.3">
      <c r="C733" s="12"/>
    </row>
    <row r="734" spans="3:3" ht="15.75" customHeight="1" x14ac:dyDescent="0.3">
      <c r="C734" s="12"/>
    </row>
    <row r="735" spans="3:3" ht="15.75" customHeight="1" x14ac:dyDescent="0.3">
      <c r="C735" s="12"/>
    </row>
    <row r="736" spans="3:3" ht="15.75" customHeight="1" x14ac:dyDescent="0.3">
      <c r="C736" s="12"/>
    </row>
    <row r="737" spans="3:3" ht="15.75" customHeight="1" x14ac:dyDescent="0.3">
      <c r="C737" s="12"/>
    </row>
    <row r="738" spans="3:3" ht="15.75" customHeight="1" x14ac:dyDescent="0.3">
      <c r="C738" s="12"/>
    </row>
    <row r="739" spans="3:3" ht="15.75" customHeight="1" x14ac:dyDescent="0.3">
      <c r="C739" s="12"/>
    </row>
    <row r="740" spans="3:3" ht="15.75" customHeight="1" x14ac:dyDescent="0.3">
      <c r="C740" s="12"/>
    </row>
    <row r="741" spans="3:3" ht="15.75" customHeight="1" x14ac:dyDescent="0.3">
      <c r="C741" s="12"/>
    </row>
    <row r="742" spans="3:3" ht="15.75" customHeight="1" x14ac:dyDescent="0.3">
      <c r="C742" s="12"/>
    </row>
    <row r="743" spans="3:3" ht="15.75" customHeight="1" x14ac:dyDescent="0.3">
      <c r="C743" s="12"/>
    </row>
    <row r="744" spans="3:3" ht="15.75" customHeight="1" x14ac:dyDescent="0.3">
      <c r="C744" s="12"/>
    </row>
    <row r="745" spans="3:3" ht="15.75" customHeight="1" x14ac:dyDescent="0.3">
      <c r="C745" s="12"/>
    </row>
    <row r="746" spans="3:3" ht="15.75" customHeight="1" x14ac:dyDescent="0.3">
      <c r="C746" s="12"/>
    </row>
    <row r="747" spans="3:3" ht="15.75" customHeight="1" x14ac:dyDescent="0.3">
      <c r="C747" s="12"/>
    </row>
    <row r="748" spans="3:3" ht="15.75" customHeight="1" x14ac:dyDescent="0.3">
      <c r="C748" s="12"/>
    </row>
    <row r="749" spans="3:3" ht="15.75" customHeight="1" x14ac:dyDescent="0.3">
      <c r="C749" s="12"/>
    </row>
    <row r="750" spans="3:3" ht="15.75" customHeight="1" x14ac:dyDescent="0.3">
      <c r="C750" s="12"/>
    </row>
    <row r="751" spans="3:3" ht="15.75" customHeight="1" x14ac:dyDescent="0.3">
      <c r="C751" s="12"/>
    </row>
    <row r="752" spans="3:3" ht="15.75" customHeight="1" x14ac:dyDescent="0.3">
      <c r="C752" s="12"/>
    </row>
    <row r="753" spans="3:3" ht="15.75" customHeight="1" x14ac:dyDescent="0.3">
      <c r="C753" s="12"/>
    </row>
    <row r="754" spans="3:3" ht="15.75" customHeight="1" x14ac:dyDescent="0.3">
      <c r="C754" s="12"/>
    </row>
    <row r="755" spans="3:3" ht="15.75" customHeight="1" x14ac:dyDescent="0.3">
      <c r="C755" s="12"/>
    </row>
    <row r="756" spans="3:3" ht="15.75" customHeight="1" x14ac:dyDescent="0.3">
      <c r="C756" s="12"/>
    </row>
    <row r="757" spans="3:3" ht="15.75" customHeight="1" x14ac:dyDescent="0.3">
      <c r="C757" s="12"/>
    </row>
    <row r="758" spans="3:3" ht="15.75" customHeight="1" x14ac:dyDescent="0.3">
      <c r="C758" s="12"/>
    </row>
    <row r="759" spans="3:3" ht="15.75" customHeight="1" x14ac:dyDescent="0.3">
      <c r="C759" s="12"/>
    </row>
    <row r="760" spans="3:3" ht="15.75" customHeight="1" x14ac:dyDescent="0.3">
      <c r="C760" s="12"/>
    </row>
    <row r="761" spans="3:3" ht="15.75" customHeight="1" x14ac:dyDescent="0.3">
      <c r="C761" s="12"/>
    </row>
    <row r="762" spans="3:3" ht="15.75" customHeight="1" x14ac:dyDescent="0.3">
      <c r="C762" s="12"/>
    </row>
    <row r="763" spans="3:3" ht="15.75" customHeight="1" x14ac:dyDescent="0.3">
      <c r="C763" s="12"/>
    </row>
    <row r="764" spans="3:3" ht="15.75" customHeight="1" x14ac:dyDescent="0.3">
      <c r="C764" s="12"/>
    </row>
    <row r="765" spans="3:3" ht="15.75" customHeight="1" x14ac:dyDescent="0.3">
      <c r="C765" s="12"/>
    </row>
    <row r="766" spans="3:3" ht="15.75" customHeight="1" x14ac:dyDescent="0.3">
      <c r="C766" s="12"/>
    </row>
    <row r="767" spans="3:3" ht="15.75" customHeight="1" x14ac:dyDescent="0.3">
      <c r="C767" s="12"/>
    </row>
    <row r="768" spans="3:3" ht="15.75" customHeight="1" x14ac:dyDescent="0.3">
      <c r="C768" s="12"/>
    </row>
    <row r="769" spans="3:3" ht="15.75" customHeight="1" x14ac:dyDescent="0.3">
      <c r="C769" s="12"/>
    </row>
    <row r="770" spans="3:3" ht="15.75" customHeight="1" x14ac:dyDescent="0.3">
      <c r="C770" s="12"/>
    </row>
    <row r="771" spans="3:3" ht="15.75" customHeight="1" x14ac:dyDescent="0.3">
      <c r="C771" s="12"/>
    </row>
    <row r="772" spans="3:3" ht="15.75" customHeight="1" x14ac:dyDescent="0.3">
      <c r="C772" s="12"/>
    </row>
    <row r="773" spans="3:3" ht="15.75" customHeight="1" x14ac:dyDescent="0.3">
      <c r="C773" s="12"/>
    </row>
    <row r="774" spans="3:3" ht="15.75" customHeight="1" x14ac:dyDescent="0.3">
      <c r="C774" s="12"/>
    </row>
    <row r="775" spans="3:3" ht="15.75" customHeight="1" x14ac:dyDescent="0.3">
      <c r="C775" s="12"/>
    </row>
    <row r="776" spans="3:3" ht="15.75" customHeight="1" x14ac:dyDescent="0.3">
      <c r="C776" s="12"/>
    </row>
    <row r="777" spans="3:3" ht="15.75" customHeight="1" x14ac:dyDescent="0.3">
      <c r="C777" s="12"/>
    </row>
    <row r="778" spans="3:3" ht="15.75" customHeight="1" x14ac:dyDescent="0.3">
      <c r="C778" s="12"/>
    </row>
    <row r="779" spans="3:3" ht="15.75" customHeight="1" x14ac:dyDescent="0.3">
      <c r="C779" s="12"/>
    </row>
    <row r="780" spans="3:3" ht="15.75" customHeight="1" x14ac:dyDescent="0.3">
      <c r="C780" s="12"/>
    </row>
    <row r="781" spans="3:3" ht="15.75" customHeight="1" x14ac:dyDescent="0.3">
      <c r="C781" s="12"/>
    </row>
    <row r="782" spans="3:3" ht="15.75" customHeight="1" x14ac:dyDescent="0.3">
      <c r="C782" s="12"/>
    </row>
    <row r="783" spans="3:3" ht="15.75" customHeight="1" x14ac:dyDescent="0.3">
      <c r="C783" s="12"/>
    </row>
    <row r="784" spans="3:3" ht="15.75" customHeight="1" x14ac:dyDescent="0.3">
      <c r="C784" s="12"/>
    </row>
    <row r="785" spans="3:3" ht="15.75" customHeight="1" x14ac:dyDescent="0.3">
      <c r="C785" s="12"/>
    </row>
    <row r="786" spans="3:3" ht="15.75" customHeight="1" x14ac:dyDescent="0.3">
      <c r="C786" s="12"/>
    </row>
    <row r="787" spans="3:3" ht="15.75" customHeight="1" x14ac:dyDescent="0.3">
      <c r="C787" s="12"/>
    </row>
    <row r="788" spans="3:3" ht="15.75" customHeight="1" x14ac:dyDescent="0.3">
      <c r="C788" s="12"/>
    </row>
    <row r="789" spans="3:3" ht="15.75" customHeight="1" x14ac:dyDescent="0.3">
      <c r="C789" s="12"/>
    </row>
    <row r="790" spans="3:3" ht="15.75" customHeight="1" x14ac:dyDescent="0.3">
      <c r="C790" s="12"/>
    </row>
    <row r="791" spans="3:3" ht="15.75" customHeight="1" x14ac:dyDescent="0.3">
      <c r="C791" s="12"/>
    </row>
    <row r="792" spans="3:3" ht="15.75" customHeight="1" x14ac:dyDescent="0.3">
      <c r="C792" s="12"/>
    </row>
    <row r="793" spans="3:3" ht="15.75" customHeight="1" x14ac:dyDescent="0.3">
      <c r="C793" s="12"/>
    </row>
    <row r="794" spans="3:3" ht="15.75" customHeight="1" x14ac:dyDescent="0.3">
      <c r="C794" s="12"/>
    </row>
    <row r="795" spans="3:3" ht="15.75" customHeight="1" x14ac:dyDescent="0.3">
      <c r="C795" s="12"/>
    </row>
    <row r="796" spans="3:3" ht="15.75" customHeight="1" x14ac:dyDescent="0.3">
      <c r="C796" s="12"/>
    </row>
    <row r="797" spans="3:3" ht="15.75" customHeight="1" x14ac:dyDescent="0.3">
      <c r="C797" s="12"/>
    </row>
    <row r="798" spans="3:3" ht="15.75" customHeight="1" x14ac:dyDescent="0.3">
      <c r="C798" s="12"/>
    </row>
    <row r="799" spans="3:3" ht="15.75" customHeight="1" x14ac:dyDescent="0.3">
      <c r="C799" s="12"/>
    </row>
    <row r="800" spans="3:3" ht="15.75" customHeight="1" x14ac:dyDescent="0.3">
      <c r="C800" s="12"/>
    </row>
    <row r="801" spans="3:3" ht="15.75" customHeight="1" x14ac:dyDescent="0.3">
      <c r="C801" s="12"/>
    </row>
    <row r="802" spans="3:3" ht="15.75" customHeight="1" x14ac:dyDescent="0.3">
      <c r="C802" s="12"/>
    </row>
    <row r="803" spans="3:3" ht="15.75" customHeight="1" x14ac:dyDescent="0.3">
      <c r="C803" s="12"/>
    </row>
    <row r="804" spans="3:3" ht="15.75" customHeight="1" x14ac:dyDescent="0.3">
      <c r="C804" s="12"/>
    </row>
    <row r="805" spans="3:3" ht="15.75" customHeight="1" x14ac:dyDescent="0.3">
      <c r="C805" s="12"/>
    </row>
    <row r="806" spans="3:3" ht="15.75" customHeight="1" x14ac:dyDescent="0.3">
      <c r="C806" s="12"/>
    </row>
    <row r="807" spans="3:3" ht="15.75" customHeight="1" x14ac:dyDescent="0.3">
      <c r="C807" s="12"/>
    </row>
    <row r="808" spans="3:3" ht="15.75" customHeight="1" x14ac:dyDescent="0.3">
      <c r="C808" s="12"/>
    </row>
    <row r="809" spans="3:3" ht="15.75" customHeight="1" x14ac:dyDescent="0.3">
      <c r="C809" s="12"/>
    </row>
    <row r="810" spans="3:3" ht="15.75" customHeight="1" x14ac:dyDescent="0.3">
      <c r="C810" s="12"/>
    </row>
    <row r="811" spans="3:3" ht="15.75" customHeight="1" x14ac:dyDescent="0.3">
      <c r="C811" s="12"/>
    </row>
    <row r="812" spans="3:3" ht="15.75" customHeight="1" x14ac:dyDescent="0.3">
      <c r="C812" s="12"/>
    </row>
    <row r="813" spans="3:3" ht="15.75" customHeight="1" x14ac:dyDescent="0.3">
      <c r="C813" s="12"/>
    </row>
    <row r="814" spans="3:3" ht="15.75" customHeight="1" x14ac:dyDescent="0.3">
      <c r="C814" s="12"/>
    </row>
    <row r="815" spans="3:3" ht="15.75" customHeight="1" x14ac:dyDescent="0.3">
      <c r="C815" s="12"/>
    </row>
    <row r="816" spans="3:3" ht="15.75" customHeight="1" x14ac:dyDescent="0.3">
      <c r="C816" s="12"/>
    </row>
    <row r="817" spans="3:3" ht="15.75" customHeight="1" x14ac:dyDescent="0.3">
      <c r="C817" s="12"/>
    </row>
    <row r="818" spans="3:3" ht="15.75" customHeight="1" x14ac:dyDescent="0.3">
      <c r="C818" s="12"/>
    </row>
    <row r="819" spans="3:3" ht="15.75" customHeight="1" x14ac:dyDescent="0.3">
      <c r="C819" s="12"/>
    </row>
    <row r="820" spans="3:3" ht="15.75" customHeight="1" x14ac:dyDescent="0.3">
      <c r="C820" s="12"/>
    </row>
    <row r="821" spans="3:3" ht="15.75" customHeight="1" x14ac:dyDescent="0.3">
      <c r="C821" s="12"/>
    </row>
    <row r="822" spans="3:3" ht="15.75" customHeight="1" x14ac:dyDescent="0.3">
      <c r="C822" s="12"/>
    </row>
    <row r="823" spans="3:3" ht="15.75" customHeight="1" x14ac:dyDescent="0.3">
      <c r="C823" s="12"/>
    </row>
    <row r="824" spans="3:3" ht="15.75" customHeight="1" x14ac:dyDescent="0.3">
      <c r="C824" s="12"/>
    </row>
    <row r="825" spans="3:3" ht="15.75" customHeight="1" x14ac:dyDescent="0.3">
      <c r="C825" s="12"/>
    </row>
    <row r="826" spans="3:3" ht="15.75" customHeight="1" x14ac:dyDescent="0.3">
      <c r="C826" s="12"/>
    </row>
    <row r="827" spans="3:3" ht="15.75" customHeight="1" x14ac:dyDescent="0.3">
      <c r="C827" s="12"/>
    </row>
    <row r="828" spans="3:3" ht="15.75" customHeight="1" x14ac:dyDescent="0.3">
      <c r="C828" s="12"/>
    </row>
    <row r="829" spans="3:3" ht="15.75" customHeight="1" x14ac:dyDescent="0.3">
      <c r="C829" s="12"/>
    </row>
    <row r="830" spans="3:3" ht="15.75" customHeight="1" x14ac:dyDescent="0.3">
      <c r="C830" s="12"/>
    </row>
    <row r="831" spans="3:3" ht="15.75" customHeight="1" x14ac:dyDescent="0.3">
      <c r="C831" s="12"/>
    </row>
    <row r="832" spans="3:3" ht="15.75" customHeight="1" x14ac:dyDescent="0.3">
      <c r="C832" s="12"/>
    </row>
    <row r="833" spans="3:3" ht="15.75" customHeight="1" x14ac:dyDescent="0.3">
      <c r="C833" s="12"/>
    </row>
    <row r="834" spans="3:3" ht="15.75" customHeight="1" x14ac:dyDescent="0.3">
      <c r="C834" s="12"/>
    </row>
    <row r="835" spans="3:3" ht="15.75" customHeight="1" x14ac:dyDescent="0.3">
      <c r="C835" s="12"/>
    </row>
    <row r="836" spans="3:3" ht="15.75" customHeight="1" x14ac:dyDescent="0.3">
      <c r="C836" s="12"/>
    </row>
    <row r="837" spans="3:3" ht="15.75" customHeight="1" x14ac:dyDescent="0.3">
      <c r="C837" s="12"/>
    </row>
    <row r="838" spans="3:3" ht="15.75" customHeight="1" x14ac:dyDescent="0.3">
      <c r="C838" s="12"/>
    </row>
    <row r="839" spans="3:3" ht="15.75" customHeight="1" x14ac:dyDescent="0.3">
      <c r="C839" s="12"/>
    </row>
    <row r="840" spans="3:3" ht="15.75" customHeight="1" x14ac:dyDescent="0.3">
      <c r="C840" s="12"/>
    </row>
    <row r="841" spans="3:3" ht="15.75" customHeight="1" x14ac:dyDescent="0.3">
      <c r="C841" s="12"/>
    </row>
    <row r="842" spans="3:3" ht="15.75" customHeight="1" x14ac:dyDescent="0.3">
      <c r="C842" s="12"/>
    </row>
    <row r="843" spans="3:3" ht="15.75" customHeight="1" x14ac:dyDescent="0.3">
      <c r="C843" s="12"/>
    </row>
    <row r="844" spans="3:3" ht="15.75" customHeight="1" x14ac:dyDescent="0.3">
      <c r="C844" s="12"/>
    </row>
    <row r="845" spans="3:3" ht="15.75" customHeight="1" x14ac:dyDescent="0.3">
      <c r="C845" s="12"/>
    </row>
    <row r="846" spans="3:3" ht="15.75" customHeight="1" x14ac:dyDescent="0.3">
      <c r="C846" s="12"/>
    </row>
    <row r="847" spans="3:3" ht="15.75" customHeight="1" x14ac:dyDescent="0.3">
      <c r="C847" s="12"/>
    </row>
    <row r="848" spans="3:3" ht="15.75" customHeight="1" x14ac:dyDescent="0.3">
      <c r="C848" s="12"/>
    </row>
    <row r="849" spans="3:3" ht="15.75" customHeight="1" x14ac:dyDescent="0.3">
      <c r="C849" s="12"/>
    </row>
    <row r="850" spans="3:3" ht="15.75" customHeight="1" x14ac:dyDescent="0.3">
      <c r="C850" s="12"/>
    </row>
    <row r="851" spans="3:3" ht="15.75" customHeight="1" x14ac:dyDescent="0.3">
      <c r="C851" s="12"/>
    </row>
    <row r="852" spans="3:3" ht="15.75" customHeight="1" x14ac:dyDescent="0.3">
      <c r="C852" s="12"/>
    </row>
    <row r="853" spans="3:3" ht="15.75" customHeight="1" x14ac:dyDescent="0.3">
      <c r="C853" s="12"/>
    </row>
    <row r="854" spans="3:3" ht="15.75" customHeight="1" x14ac:dyDescent="0.3">
      <c r="C854" s="12"/>
    </row>
    <row r="855" spans="3:3" ht="15.75" customHeight="1" x14ac:dyDescent="0.3">
      <c r="C855" s="12"/>
    </row>
    <row r="856" spans="3:3" ht="15.75" customHeight="1" x14ac:dyDescent="0.3">
      <c r="C856" s="12"/>
    </row>
    <row r="857" spans="3:3" ht="15.75" customHeight="1" x14ac:dyDescent="0.3">
      <c r="C857" s="12"/>
    </row>
    <row r="858" spans="3:3" ht="15.75" customHeight="1" x14ac:dyDescent="0.3">
      <c r="C858" s="12"/>
    </row>
    <row r="859" spans="3:3" ht="15.75" customHeight="1" x14ac:dyDescent="0.3">
      <c r="C859" s="12"/>
    </row>
    <row r="860" spans="3:3" ht="15.75" customHeight="1" x14ac:dyDescent="0.3">
      <c r="C860" s="12"/>
    </row>
    <row r="861" spans="3:3" ht="15.75" customHeight="1" x14ac:dyDescent="0.3">
      <c r="C861" s="12"/>
    </row>
    <row r="862" spans="3:3" ht="15.75" customHeight="1" x14ac:dyDescent="0.3">
      <c r="C862" s="12"/>
    </row>
    <row r="863" spans="3:3" ht="15.75" customHeight="1" x14ac:dyDescent="0.3">
      <c r="C863" s="12"/>
    </row>
    <row r="864" spans="3:3" ht="15.75" customHeight="1" x14ac:dyDescent="0.3">
      <c r="C864" s="12"/>
    </row>
    <row r="865" spans="3:3" ht="15.75" customHeight="1" x14ac:dyDescent="0.3">
      <c r="C865" s="12"/>
    </row>
    <row r="866" spans="3:3" ht="15.75" customHeight="1" x14ac:dyDescent="0.3">
      <c r="C866" s="12"/>
    </row>
    <row r="867" spans="3:3" ht="15.75" customHeight="1" x14ac:dyDescent="0.3">
      <c r="C867" s="12"/>
    </row>
    <row r="868" spans="3:3" ht="15.75" customHeight="1" x14ac:dyDescent="0.3">
      <c r="C868" s="12"/>
    </row>
    <row r="869" spans="3:3" ht="15.75" customHeight="1" x14ac:dyDescent="0.3">
      <c r="C869" s="12"/>
    </row>
    <row r="870" spans="3:3" ht="15.75" customHeight="1" x14ac:dyDescent="0.3">
      <c r="C870" s="12"/>
    </row>
    <row r="871" spans="3:3" ht="15.75" customHeight="1" x14ac:dyDescent="0.3">
      <c r="C871" s="12"/>
    </row>
    <row r="872" spans="3:3" ht="15.75" customHeight="1" x14ac:dyDescent="0.3">
      <c r="C872" s="12"/>
    </row>
    <row r="873" spans="3:3" ht="15.75" customHeight="1" x14ac:dyDescent="0.3">
      <c r="C873" s="12"/>
    </row>
    <row r="874" spans="3:3" ht="15.75" customHeight="1" x14ac:dyDescent="0.3">
      <c r="C874" s="12"/>
    </row>
    <row r="875" spans="3:3" ht="15.75" customHeight="1" x14ac:dyDescent="0.3">
      <c r="C875" s="12"/>
    </row>
    <row r="876" spans="3:3" ht="15.75" customHeight="1" x14ac:dyDescent="0.3">
      <c r="C876" s="12"/>
    </row>
    <row r="877" spans="3:3" ht="15.75" customHeight="1" x14ac:dyDescent="0.3">
      <c r="C877" s="12"/>
    </row>
    <row r="878" spans="3:3" ht="15.75" customHeight="1" x14ac:dyDescent="0.3">
      <c r="C878" s="12"/>
    </row>
    <row r="879" spans="3:3" ht="15.75" customHeight="1" x14ac:dyDescent="0.3">
      <c r="C879" s="12"/>
    </row>
    <row r="880" spans="3:3" ht="15.75" customHeight="1" x14ac:dyDescent="0.3">
      <c r="C880" s="12"/>
    </row>
    <row r="881" spans="3:3" ht="15.75" customHeight="1" x14ac:dyDescent="0.3">
      <c r="C881" s="12"/>
    </row>
    <row r="882" spans="3:3" ht="15.75" customHeight="1" x14ac:dyDescent="0.3">
      <c r="C882" s="12"/>
    </row>
    <row r="883" spans="3:3" ht="15.75" customHeight="1" x14ac:dyDescent="0.3">
      <c r="C883" s="12"/>
    </row>
    <row r="884" spans="3:3" ht="15.75" customHeight="1" x14ac:dyDescent="0.3">
      <c r="C884" s="12"/>
    </row>
    <row r="885" spans="3:3" ht="15.75" customHeight="1" x14ac:dyDescent="0.3">
      <c r="C885" s="12"/>
    </row>
    <row r="886" spans="3:3" ht="15.75" customHeight="1" x14ac:dyDescent="0.3">
      <c r="C886" s="12"/>
    </row>
    <row r="887" spans="3:3" ht="15.75" customHeight="1" x14ac:dyDescent="0.3">
      <c r="C887" s="12"/>
    </row>
    <row r="888" spans="3:3" ht="15.75" customHeight="1" x14ac:dyDescent="0.3">
      <c r="C888" s="12"/>
    </row>
    <row r="889" spans="3:3" ht="15.75" customHeight="1" x14ac:dyDescent="0.3">
      <c r="C889" s="12"/>
    </row>
    <row r="890" spans="3:3" ht="15.75" customHeight="1" x14ac:dyDescent="0.3">
      <c r="C890" s="12"/>
    </row>
    <row r="891" spans="3:3" ht="15.75" customHeight="1" x14ac:dyDescent="0.3">
      <c r="C891" s="12"/>
    </row>
    <row r="892" spans="3:3" ht="15.75" customHeight="1" x14ac:dyDescent="0.3">
      <c r="C892" s="12"/>
    </row>
    <row r="893" spans="3:3" ht="15.75" customHeight="1" x14ac:dyDescent="0.3">
      <c r="C893" s="12"/>
    </row>
    <row r="894" spans="3:3" ht="15.75" customHeight="1" x14ac:dyDescent="0.3">
      <c r="C894" s="12"/>
    </row>
    <row r="895" spans="3:3" ht="15.75" customHeight="1" x14ac:dyDescent="0.3">
      <c r="C895" s="12"/>
    </row>
    <row r="896" spans="3:3" ht="15.75" customHeight="1" x14ac:dyDescent="0.3">
      <c r="C896" s="12"/>
    </row>
    <row r="897" spans="3:3" ht="15.75" customHeight="1" x14ac:dyDescent="0.3">
      <c r="C897" s="12"/>
    </row>
    <row r="898" spans="3:3" ht="15.75" customHeight="1" x14ac:dyDescent="0.3">
      <c r="C898" s="12"/>
    </row>
    <row r="899" spans="3:3" ht="15.75" customHeight="1" x14ac:dyDescent="0.3">
      <c r="C899" s="12"/>
    </row>
    <row r="900" spans="3:3" ht="15.75" customHeight="1" x14ac:dyDescent="0.3">
      <c r="C900" s="12"/>
    </row>
    <row r="901" spans="3:3" ht="15.75" customHeight="1" x14ac:dyDescent="0.3">
      <c r="C901" s="12"/>
    </row>
    <row r="902" spans="3:3" ht="15.75" customHeight="1" x14ac:dyDescent="0.3">
      <c r="C902" s="12"/>
    </row>
    <row r="903" spans="3:3" ht="15.75" customHeight="1" x14ac:dyDescent="0.3">
      <c r="C903" s="12"/>
    </row>
    <row r="904" spans="3:3" ht="15.75" customHeight="1" x14ac:dyDescent="0.3">
      <c r="C904" s="12"/>
    </row>
    <row r="905" spans="3:3" ht="15.75" customHeight="1" x14ac:dyDescent="0.3">
      <c r="C905" s="12"/>
    </row>
    <row r="906" spans="3:3" ht="15.75" customHeight="1" x14ac:dyDescent="0.3">
      <c r="C906" s="12"/>
    </row>
    <row r="907" spans="3:3" ht="15.75" customHeight="1" x14ac:dyDescent="0.3">
      <c r="C907" s="12"/>
    </row>
    <row r="908" spans="3:3" ht="15.75" customHeight="1" x14ac:dyDescent="0.3">
      <c r="C908" s="12"/>
    </row>
    <row r="909" spans="3:3" ht="15.75" customHeight="1" x14ac:dyDescent="0.3">
      <c r="C909" s="12"/>
    </row>
    <row r="910" spans="3:3" ht="15.75" customHeight="1" x14ac:dyDescent="0.3">
      <c r="C910" s="12"/>
    </row>
    <row r="911" spans="3:3" ht="15.75" customHeight="1" x14ac:dyDescent="0.3">
      <c r="C911" s="12"/>
    </row>
    <row r="912" spans="3:3" ht="15.75" customHeight="1" x14ac:dyDescent="0.3">
      <c r="C912" s="12"/>
    </row>
    <row r="913" spans="3:3" ht="15.75" customHeight="1" x14ac:dyDescent="0.3">
      <c r="C913" s="12"/>
    </row>
    <row r="914" spans="3:3" ht="15.75" customHeight="1" x14ac:dyDescent="0.3">
      <c r="C914" s="12"/>
    </row>
    <row r="915" spans="3:3" ht="15.75" customHeight="1" x14ac:dyDescent="0.3">
      <c r="C915" s="12"/>
    </row>
    <row r="916" spans="3:3" ht="15.75" customHeight="1" x14ac:dyDescent="0.3">
      <c r="C916" s="12"/>
    </row>
    <row r="917" spans="3:3" ht="15.75" customHeight="1" x14ac:dyDescent="0.3">
      <c r="C917" s="12"/>
    </row>
    <row r="918" spans="3:3" ht="15.75" customHeight="1" x14ac:dyDescent="0.3">
      <c r="C918" s="12"/>
    </row>
    <row r="919" spans="3:3" ht="15.75" customHeight="1" x14ac:dyDescent="0.3">
      <c r="C919" s="12"/>
    </row>
    <row r="920" spans="3:3" ht="15.75" customHeight="1" x14ac:dyDescent="0.3">
      <c r="C920" s="12"/>
    </row>
    <row r="921" spans="3:3" ht="15.75" customHeight="1" x14ac:dyDescent="0.3">
      <c r="C921" s="12"/>
    </row>
    <row r="922" spans="3:3" ht="15.75" customHeight="1" x14ac:dyDescent="0.3">
      <c r="C922" s="12"/>
    </row>
    <row r="923" spans="3:3" ht="15.75" customHeight="1" x14ac:dyDescent="0.3">
      <c r="C923" s="12"/>
    </row>
    <row r="924" spans="3:3" ht="15.75" customHeight="1" x14ac:dyDescent="0.3">
      <c r="C924" s="12"/>
    </row>
    <row r="925" spans="3:3" ht="15.75" customHeight="1" x14ac:dyDescent="0.3">
      <c r="C925" s="12"/>
    </row>
    <row r="926" spans="3:3" ht="15.75" customHeight="1" x14ac:dyDescent="0.3">
      <c r="C926" s="12"/>
    </row>
    <row r="927" spans="3:3" ht="15.75" customHeight="1" x14ac:dyDescent="0.3">
      <c r="C927" s="12"/>
    </row>
    <row r="928" spans="3:3" ht="15.75" customHeight="1" x14ac:dyDescent="0.3">
      <c r="C928" s="12"/>
    </row>
    <row r="929" spans="3:3" ht="15.75" customHeight="1" x14ac:dyDescent="0.3">
      <c r="C929" s="12"/>
    </row>
    <row r="930" spans="3:3" ht="15.75" customHeight="1" x14ac:dyDescent="0.3">
      <c r="C930" s="12"/>
    </row>
    <row r="931" spans="3:3" ht="15.75" customHeight="1" x14ac:dyDescent="0.3">
      <c r="C931" s="12"/>
    </row>
    <row r="932" spans="3:3" ht="15.75" customHeight="1" x14ac:dyDescent="0.3">
      <c r="C932" s="12"/>
    </row>
    <row r="933" spans="3:3" ht="15.75" customHeight="1" x14ac:dyDescent="0.3">
      <c r="C933" s="12"/>
    </row>
    <row r="934" spans="3:3" ht="15.75" customHeight="1" x14ac:dyDescent="0.3">
      <c r="C934" s="12"/>
    </row>
    <row r="935" spans="3:3" ht="15.75" customHeight="1" x14ac:dyDescent="0.3">
      <c r="C935" s="12"/>
    </row>
    <row r="936" spans="3:3" ht="15.75" customHeight="1" x14ac:dyDescent="0.3">
      <c r="C936" s="12"/>
    </row>
    <row r="937" spans="3:3" ht="15.75" customHeight="1" x14ac:dyDescent="0.3">
      <c r="C937" s="12"/>
    </row>
    <row r="938" spans="3:3" ht="15.75" customHeight="1" x14ac:dyDescent="0.3">
      <c r="C938" s="12"/>
    </row>
    <row r="939" spans="3:3" ht="15.75" customHeight="1" x14ac:dyDescent="0.3">
      <c r="C939" s="12"/>
    </row>
    <row r="940" spans="3:3" ht="15.75" customHeight="1" x14ac:dyDescent="0.3">
      <c r="C940" s="12"/>
    </row>
    <row r="941" spans="3:3" ht="15.75" customHeight="1" x14ac:dyDescent="0.3">
      <c r="C941" s="12"/>
    </row>
    <row r="942" spans="3:3" ht="15.75" customHeight="1" x14ac:dyDescent="0.3">
      <c r="C942" s="12"/>
    </row>
    <row r="943" spans="3:3" ht="15.75" customHeight="1" x14ac:dyDescent="0.3">
      <c r="C943" s="12"/>
    </row>
    <row r="944" spans="3:3" ht="15.75" customHeight="1" x14ac:dyDescent="0.3">
      <c r="C944" s="12"/>
    </row>
    <row r="945" spans="3:3" ht="15.75" customHeight="1" x14ac:dyDescent="0.3">
      <c r="C945" s="12"/>
    </row>
    <row r="946" spans="3:3" ht="15.75" customHeight="1" x14ac:dyDescent="0.3">
      <c r="C946" s="12"/>
    </row>
    <row r="947" spans="3:3" ht="15.75" customHeight="1" x14ac:dyDescent="0.3">
      <c r="C947" s="12"/>
    </row>
    <row r="948" spans="3:3" ht="15.75" customHeight="1" x14ac:dyDescent="0.3">
      <c r="C948" s="12"/>
    </row>
    <row r="949" spans="3:3" ht="15.75" customHeight="1" x14ac:dyDescent="0.3">
      <c r="C949" s="12"/>
    </row>
    <row r="950" spans="3:3" ht="15.75" customHeight="1" x14ac:dyDescent="0.3">
      <c r="C950" s="12"/>
    </row>
    <row r="951" spans="3:3" ht="15.75" customHeight="1" x14ac:dyDescent="0.3">
      <c r="C951" s="12"/>
    </row>
    <row r="952" spans="3:3" ht="15.75" customHeight="1" x14ac:dyDescent="0.3">
      <c r="C952" s="12"/>
    </row>
    <row r="953" spans="3:3" ht="15.75" customHeight="1" x14ac:dyDescent="0.3">
      <c r="C953" s="12"/>
    </row>
    <row r="954" spans="3:3" ht="15.75" customHeight="1" x14ac:dyDescent="0.3">
      <c r="C954" s="12"/>
    </row>
    <row r="955" spans="3:3" ht="15.75" customHeight="1" x14ac:dyDescent="0.3">
      <c r="C955" s="12"/>
    </row>
    <row r="956" spans="3:3" ht="15.75" customHeight="1" x14ac:dyDescent="0.3">
      <c r="C956" s="12"/>
    </row>
    <row r="957" spans="3:3" ht="15.75" customHeight="1" x14ac:dyDescent="0.3">
      <c r="C957" s="12"/>
    </row>
    <row r="958" spans="3:3" ht="15.75" customHeight="1" x14ac:dyDescent="0.3">
      <c r="C958" s="12"/>
    </row>
    <row r="959" spans="3:3" ht="15.75" customHeight="1" x14ac:dyDescent="0.3">
      <c r="C959" s="12"/>
    </row>
    <row r="960" spans="3:3" ht="15.75" customHeight="1" x14ac:dyDescent="0.3">
      <c r="C960" s="12"/>
    </row>
    <row r="961" spans="3:3" ht="15.75" customHeight="1" x14ac:dyDescent="0.3">
      <c r="C961" s="12"/>
    </row>
    <row r="962" spans="3:3" ht="15.75" customHeight="1" x14ac:dyDescent="0.3">
      <c r="C962" s="12"/>
    </row>
    <row r="963" spans="3:3" ht="15.75" customHeight="1" x14ac:dyDescent="0.3">
      <c r="C963" s="12"/>
    </row>
    <row r="964" spans="3:3" ht="15.75" customHeight="1" x14ac:dyDescent="0.3">
      <c r="C964" s="12"/>
    </row>
    <row r="965" spans="3:3" ht="15.75" customHeight="1" x14ac:dyDescent="0.3">
      <c r="C965" s="12"/>
    </row>
    <row r="966" spans="3:3" ht="15.75" customHeight="1" x14ac:dyDescent="0.3">
      <c r="C966" s="12"/>
    </row>
    <row r="967" spans="3:3" ht="15.75" customHeight="1" x14ac:dyDescent="0.3">
      <c r="C967" s="12"/>
    </row>
    <row r="968" spans="3:3" ht="15.75" customHeight="1" x14ac:dyDescent="0.3">
      <c r="C968" s="12"/>
    </row>
    <row r="969" spans="3:3" ht="15.75" customHeight="1" x14ac:dyDescent="0.3">
      <c r="C969" s="12"/>
    </row>
    <row r="970" spans="3:3" ht="15.75" customHeight="1" x14ac:dyDescent="0.3">
      <c r="C970" s="12"/>
    </row>
    <row r="971" spans="3:3" ht="15.75" customHeight="1" x14ac:dyDescent="0.3">
      <c r="C971" s="12"/>
    </row>
    <row r="972" spans="3:3" ht="15.75" customHeight="1" x14ac:dyDescent="0.3">
      <c r="C972" s="12"/>
    </row>
    <row r="973" spans="3:3" ht="15.75" customHeight="1" x14ac:dyDescent="0.3">
      <c r="C973" s="12"/>
    </row>
    <row r="974" spans="3:3" ht="15.75" customHeight="1" x14ac:dyDescent="0.3">
      <c r="C974" s="12"/>
    </row>
    <row r="975" spans="3:3" ht="15.75" customHeight="1" x14ac:dyDescent="0.3">
      <c r="C975" s="12"/>
    </row>
    <row r="976" spans="3:3" ht="15.75" customHeight="1" x14ac:dyDescent="0.3">
      <c r="C976" s="12"/>
    </row>
    <row r="977" spans="3:3" ht="15.75" customHeight="1" x14ac:dyDescent="0.3">
      <c r="C977" s="12"/>
    </row>
    <row r="978" spans="3:3" ht="15.75" customHeight="1" x14ac:dyDescent="0.3">
      <c r="C978" s="12"/>
    </row>
    <row r="979" spans="3:3" ht="15.75" customHeight="1" x14ac:dyDescent="0.3">
      <c r="C979" s="12"/>
    </row>
    <row r="980" spans="3:3" ht="15.75" customHeight="1" x14ac:dyDescent="0.3">
      <c r="C980" s="12"/>
    </row>
    <row r="981" spans="3:3" ht="15.75" customHeight="1" x14ac:dyDescent="0.3">
      <c r="C981" s="12"/>
    </row>
    <row r="982" spans="3:3" ht="15.75" customHeight="1" x14ac:dyDescent="0.3">
      <c r="C982" s="12"/>
    </row>
    <row r="983" spans="3:3" ht="15.75" customHeight="1" x14ac:dyDescent="0.3">
      <c r="C983" s="12"/>
    </row>
    <row r="984" spans="3:3" ht="15.75" customHeight="1" x14ac:dyDescent="0.3">
      <c r="C984" s="12"/>
    </row>
    <row r="985" spans="3:3" ht="15.75" customHeight="1" x14ac:dyDescent="0.3">
      <c r="C985" s="12"/>
    </row>
    <row r="986" spans="3:3" ht="15.75" customHeight="1" x14ac:dyDescent="0.3">
      <c r="C986" s="12"/>
    </row>
    <row r="987" spans="3:3" ht="15.75" customHeight="1" x14ac:dyDescent="0.3">
      <c r="C987" s="12"/>
    </row>
    <row r="988" spans="3:3" ht="15.75" customHeight="1" x14ac:dyDescent="0.3">
      <c r="C988" s="12"/>
    </row>
    <row r="989" spans="3:3" ht="15.75" customHeight="1" x14ac:dyDescent="0.3">
      <c r="C989" s="12"/>
    </row>
    <row r="990" spans="3:3" ht="15.75" customHeight="1" x14ac:dyDescent="0.3">
      <c r="C990" s="12"/>
    </row>
    <row r="991" spans="3:3" ht="15.75" customHeight="1" x14ac:dyDescent="0.3">
      <c r="C991" s="12"/>
    </row>
    <row r="992" spans="3:3" ht="15.75" customHeight="1" x14ac:dyDescent="0.3">
      <c r="C992" s="12"/>
    </row>
    <row r="993" spans="3:3" ht="15.75" customHeight="1" x14ac:dyDescent="0.3">
      <c r="C993" s="12"/>
    </row>
    <row r="994" spans="3:3" ht="15.75" customHeight="1" x14ac:dyDescent="0.3">
      <c r="C994" s="12"/>
    </row>
    <row r="995" spans="3:3" ht="15.75" customHeight="1" x14ac:dyDescent="0.3">
      <c r="C995" s="12"/>
    </row>
    <row r="996" spans="3:3" ht="15.75" customHeight="1" x14ac:dyDescent="0.3">
      <c r="C996" s="12"/>
    </row>
    <row r="997" spans="3:3" ht="15.75" customHeight="1" x14ac:dyDescent="0.3">
      <c r="C997" s="12"/>
    </row>
    <row r="998" spans="3:3" ht="15.75" customHeight="1" x14ac:dyDescent="0.3">
      <c r="C998" s="12"/>
    </row>
    <row r="999" spans="3:3" ht="15.75" customHeight="1" x14ac:dyDescent="0.3">
      <c r="C999" s="12"/>
    </row>
    <row r="1000" spans="3:3" ht="15.75" customHeight="1" x14ac:dyDescent="0.3">
      <c r="C1000" s="12"/>
    </row>
  </sheetData>
  <mergeCells count="5">
    <mergeCell ref="A2:G2"/>
    <mergeCell ref="A3:I3"/>
    <mergeCell ref="U3:W3"/>
    <mergeCell ref="A4:G4"/>
    <mergeCell ref="Y38:AA38"/>
  </mergeCells>
  <conditionalFormatting sqref="K7:K37">
    <cfRule type="cellIs" dxfId="73" priority="4" operator="greaterThan">
      <formula>449</formula>
    </cfRule>
  </conditionalFormatting>
  <conditionalFormatting sqref="L7:L37">
    <cfRule type="cellIs" dxfId="72" priority="5" operator="between">
      <formula>17</formula>
      <formula>24</formula>
    </cfRule>
  </conditionalFormatting>
  <conditionalFormatting sqref="J7:N37">
    <cfRule type="expression" dxfId="71" priority="6">
      <formula>ISERROR(J7)</formula>
    </cfRule>
  </conditionalFormatting>
  <conditionalFormatting sqref="M7:M37">
    <cfRule type="cellIs" dxfId="70" priority="7" operator="between">
      <formula>5.9</formula>
      <formula>10</formula>
    </cfRule>
  </conditionalFormatting>
  <conditionalFormatting sqref="J7:J37">
    <cfRule type="cellIs" dxfId="69" priority="8" operator="greaterThanOrEqual">
      <formula>13.1</formula>
    </cfRule>
  </conditionalFormatting>
  <conditionalFormatting sqref="U7:W38">
    <cfRule type="expression" dxfId="68" priority="9">
      <formula>ISERROR(U7)</formula>
    </cfRule>
  </conditionalFormatting>
  <conditionalFormatting sqref="G7:G37">
    <cfRule type="notContainsBlanks" dxfId="67" priority="10">
      <formula>LEN(TRIM(G7))&gt;0</formula>
    </cfRule>
  </conditionalFormatting>
  <conditionalFormatting sqref="C19:C37 B18:B37 B7:F17 D18:F37">
    <cfRule type="containsText" dxfId="66" priority="11" operator="containsText" text="ABSENT">
      <formula>NOT(ISERROR(SEARCH(("ABSENT"),(B7))))</formula>
    </cfRule>
  </conditionalFormatting>
  <conditionalFormatting sqref="B7:B37">
    <cfRule type="cellIs" dxfId="65" priority="12" operator="greaterThan">
      <formula>$S$4</formula>
    </cfRule>
  </conditionalFormatting>
  <conditionalFormatting sqref="B7:B37">
    <cfRule type="cellIs" dxfId="64" priority="13" operator="between">
      <formula>$K$4</formula>
      <formula>$S$4</formula>
    </cfRule>
  </conditionalFormatting>
  <conditionalFormatting sqref="H17">
    <cfRule type="containsText" dxfId="63" priority="1" operator="containsText" text="ABSENT">
      <formula>NOT(ISERROR(SEARCH(("ABSENT"),(H17))))</formula>
    </cfRule>
  </conditionalFormatting>
  <conditionalFormatting sqref="H17">
    <cfRule type="cellIs" dxfId="62" priority="2" operator="greaterThan">
      <formula>$S$4</formula>
    </cfRule>
  </conditionalFormatting>
  <conditionalFormatting sqref="H17">
    <cfRule type="cellIs" dxfId="61" priority="3" operator="between">
      <formula>$K$4</formula>
      <formula>$S$4</formula>
    </cfRule>
  </conditionalFormatting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0"/>
  <sheetViews>
    <sheetView topLeftCell="A13" workbookViewId="0">
      <selection activeCell="F14" sqref="F14"/>
    </sheetView>
  </sheetViews>
  <sheetFormatPr defaultColWidth="14.44140625" defaultRowHeight="15" customHeight="1" x14ac:dyDescent="0.3"/>
  <cols>
    <col min="1" max="1" width="7.33203125" customWidth="1"/>
    <col min="2" max="2" width="10.5546875" customWidth="1"/>
    <col min="3" max="4" width="11.44140625" customWidth="1"/>
    <col min="5" max="5" width="9.88671875" customWidth="1"/>
    <col min="6" max="6" width="7.88671875" customWidth="1"/>
    <col min="7" max="7" width="9.5546875" customWidth="1"/>
    <col min="8" max="9" width="9.88671875" customWidth="1"/>
    <col min="10" max="10" width="9.5546875" customWidth="1"/>
    <col min="11" max="11" width="9.6640625" customWidth="1"/>
    <col min="12" max="13" width="9.109375" customWidth="1"/>
    <col min="14" max="14" width="9.44140625" customWidth="1"/>
    <col min="15" max="19" width="9.109375" customWidth="1"/>
    <col min="20" max="20" width="15" customWidth="1"/>
    <col min="21" max="23" width="9.109375" customWidth="1"/>
    <col min="24" max="25" width="10.109375" customWidth="1"/>
    <col min="26" max="26" width="4" customWidth="1"/>
    <col min="27" max="27" width="3.88671875" customWidth="1"/>
    <col min="28" max="28" width="14.44140625" customWidth="1"/>
    <col min="29" max="29" width="5.88671875" customWidth="1"/>
  </cols>
  <sheetData>
    <row r="1" spans="1:29" ht="25.2" x14ac:dyDescent="0.6">
      <c r="A1" s="1" t="s">
        <v>77</v>
      </c>
      <c r="O1" s="99"/>
      <c r="P1" s="90"/>
      <c r="Q1" s="90"/>
      <c r="R1" s="90"/>
      <c r="S1" s="90"/>
      <c r="T1" s="90"/>
      <c r="U1" s="90"/>
    </row>
    <row r="2" spans="1:29" ht="15.6" x14ac:dyDescent="0.3">
      <c r="A2" s="89"/>
      <c r="B2" s="90"/>
      <c r="C2" s="90"/>
      <c r="D2" s="90"/>
      <c r="E2" s="90"/>
      <c r="F2" s="90"/>
      <c r="G2" s="90"/>
      <c r="H2" s="2"/>
      <c r="N2" s="3" t="s">
        <v>0</v>
      </c>
      <c r="O2" s="4" t="s">
        <v>1</v>
      </c>
      <c r="P2" s="4"/>
      <c r="Q2" s="4"/>
      <c r="R2" s="4"/>
      <c r="S2" s="4"/>
    </row>
    <row r="3" spans="1:29" ht="14.4" x14ac:dyDescent="0.3">
      <c r="A3" s="100" t="s">
        <v>81</v>
      </c>
      <c r="B3" s="95"/>
      <c r="C3" s="95"/>
      <c r="D3" s="95"/>
      <c r="E3" s="95"/>
      <c r="F3" s="95"/>
      <c r="G3" s="95"/>
      <c r="H3" s="95"/>
      <c r="I3" s="96"/>
      <c r="J3" s="5">
        <v>0.72986111111111107</v>
      </c>
      <c r="K3" s="6">
        <v>0.31597222222222221</v>
      </c>
      <c r="L3" s="6">
        <v>0.70833333333333337</v>
      </c>
      <c r="M3" s="7" t="s">
        <v>2</v>
      </c>
      <c r="N3" s="8">
        <v>10000</v>
      </c>
      <c r="O3" s="74">
        <f>$N$3/30</f>
        <v>333.33333333333331</v>
      </c>
      <c r="P3" s="10">
        <f>($N$3/30)/8</f>
        <v>41.666666666666664</v>
      </c>
      <c r="Q3" s="11">
        <f>($N$3/30)/480</f>
        <v>0.69444444444444442</v>
      </c>
      <c r="R3" s="12">
        <v>0.5</v>
      </c>
      <c r="S3" s="5">
        <v>0.31944444444444448</v>
      </c>
      <c r="T3" s="13" t="s">
        <v>3</v>
      </c>
      <c r="U3" s="94" t="s">
        <v>4</v>
      </c>
      <c r="V3" s="95"/>
      <c r="W3" s="96"/>
      <c r="X3" s="14" t="s">
        <v>5</v>
      </c>
      <c r="Y3" s="15" t="s">
        <v>6</v>
      </c>
      <c r="Z3" s="16"/>
      <c r="AA3" s="17"/>
      <c r="AB3" s="18" t="s">
        <v>7</v>
      </c>
      <c r="AC3" s="19"/>
    </row>
    <row r="4" spans="1:29" ht="15.6" x14ac:dyDescent="0.3">
      <c r="A4" s="97" t="s">
        <v>82</v>
      </c>
      <c r="B4" s="90"/>
      <c r="C4" s="90"/>
      <c r="D4" s="90"/>
      <c r="E4" s="90"/>
      <c r="F4" s="90"/>
      <c r="G4" s="90"/>
      <c r="H4" s="20" t="s">
        <v>8</v>
      </c>
      <c r="I4" s="21"/>
      <c r="J4" s="22">
        <v>0.72916666666666663</v>
      </c>
      <c r="K4" s="5">
        <v>0.31666666666666665</v>
      </c>
      <c r="L4" s="23">
        <v>0.32361111111111113</v>
      </c>
      <c r="N4" s="24" t="s">
        <v>9</v>
      </c>
      <c r="O4" s="25" t="s">
        <v>10</v>
      </c>
      <c r="P4" s="25" t="s">
        <v>11</v>
      </c>
      <c r="Q4" s="26" t="s">
        <v>12</v>
      </c>
      <c r="R4" s="27" t="s">
        <v>13</v>
      </c>
      <c r="S4" s="23">
        <v>0.32291666666666669</v>
      </c>
      <c r="T4" s="13" t="s">
        <v>14</v>
      </c>
      <c r="U4" s="14" t="s">
        <v>15</v>
      </c>
      <c r="V4" s="14" t="s">
        <v>15</v>
      </c>
      <c r="W4" s="14" t="s">
        <v>15</v>
      </c>
      <c r="X4" s="14" t="s">
        <v>16</v>
      </c>
      <c r="Y4" s="14" t="s">
        <v>17</v>
      </c>
      <c r="Z4" s="16"/>
      <c r="AA4" s="17"/>
      <c r="AB4" s="17"/>
      <c r="AC4" s="19"/>
    </row>
    <row r="5" spans="1:29" ht="14.4" x14ac:dyDescent="0.3">
      <c r="A5" s="28" t="s">
        <v>18</v>
      </c>
      <c r="B5" s="29" t="s">
        <v>19</v>
      </c>
      <c r="C5" s="29" t="s">
        <v>19</v>
      </c>
      <c r="D5" s="30" t="s">
        <v>20</v>
      </c>
      <c r="E5" s="30" t="s">
        <v>20</v>
      </c>
      <c r="F5" s="31" t="s">
        <v>21</v>
      </c>
      <c r="G5" s="32" t="s">
        <v>22</v>
      </c>
      <c r="H5" s="33" t="s">
        <v>23</v>
      </c>
      <c r="I5" s="34" t="s">
        <v>23</v>
      </c>
      <c r="J5" s="14" t="s">
        <v>24</v>
      </c>
      <c r="K5" s="14" t="s">
        <v>25</v>
      </c>
      <c r="L5" s="14" t="s">
        <v>26</v>
      </c>
      <c r="M5" s="14" t="s">
        <v>26</v>
      </c>
      <c r="N5" s="14" t="s">
        <v>27</v>
      </c>
      <c r="O5" s="35" t="s">
        <v>28</v>
      </c>
      <c r="P5" s="35" t="s">
        <v>29</v>
      </c>
      <c r="Q5" s="35" t="s">
        <v>30</v>
      </c>
      <c r="R5" s="36" t="s">
        <v>23</v>
      </c>
      <c r="S5" s="35" t="s">
        <v>22</v>
      </c>
      <c r="T5" s="13" t="s">
        <v>31</v>
      </c>
      <c r="U5" s="14" t="s">
        <v>32</v>
      </c>
      <c r="V5" s="14" t="s">
        <v>32</v>
      </c>
      <c r="W5" s="14" t="s">
        <v>32</v>
      </c>
      <c r="X5" s="14" t="s">
        <v>33</v>
      </c>
      <c r="Y5" s="14" t="s">
        <v>34</v>
      </c>
      <c r="Z5" s="16"/>
      <c r="AA5" s="17"/>
      <c r="AB5" s="17"/>
      <c r="AC5" s="19"/>
    </row>
    <row r="6" spans="1:29" ht="14.4" x14ac:dyDescent="0.3">
      <c r="A6" s="37" t="s">
        <v>35</v>
      </c>
      <c r="B6" s="37" t="s">
        <v>36</v>
      </c>
      <c r="C6" s="37" t="s">
        <v>37</v>
      </c>
      <c r="D6" s="37" t="s">
        <v>36</v>
      </c>
      <c r="E6" s="37" t="s">
        <v>37</v>
      </c>
      <c r="F6" s="38" t="s">
        <v>38</v>
      </c>
      <c r="G6" s="18" t="s">
        <v>37</v>
      </c>
      <c r="H6" s="37" t="s">
        <v>36</v>
      </c>
      <c r="I6" s="37" t="s">
        <v>37</v>
      </c>
      <c r="J6" s="14" t="s">
        <v>39</v>
      </c>
      <c r="K6" s="14" t="s">
        <v>40</v>
      </c>
      <c r="L6" s="14" t="s">
        <v>30</v>
      </c>
      <c r="M6" s="14" t="s">
        <v>22</v>
      </c>
      <c r="N6" s="14" t="s">
        <v>21</v>
      </c>
      <c r="O6" s="14" t="s">
        <v>41</v>
      </c>
      <c r="P6" s="14" t="s">
        <v>41</v>
      </c>
      <c r="Q6" s="14" t="s">
        <v>41</v>
      </c>
      <c r="R6" s="14" t="s">
        <v>41</v>
      </c>
      <c r="S6" s="14" t="s">
        <v>42</v>
      </c>
      <c r="T6" s="13" t="s">
        <v>43</v>
      </c>
      <c r="U6" s="14" t="s">
        <v>44</v>
      </c>
      <c r="V6" s="39" t="s">
        <v>45</v>
      </c>
      <c r="W6" s="14" t="s">
        <v>22</v>
      </c>
      <c r="X6" s="14" t="s">
        <v>46</v>
      </c>
      <c r="Y6" s="14" t="s">
        <v>47</v>
      </c>
      <c r="Z6" s="14" t="s">
        <v>48</v>
      </c>
      <c r="AA6" s="40" t="s">
        <v>49</v>
      </c>
      <c r="AB6" s="17"/>
      <c r="AC6" s="19"/>
    </row>
    <row r="7" spans="1:29" ht="14.4" x14ac:dyDescent="0.3">
      <c r="A7" s="12">
        <v>1</v>
      </c>
      <c r="B7" s="41"/>
      <c r="C7" s="41">
        <v>0.48958333333333331</v>
      </c>
      <c r="D7" s="41">
        <v>0.53125</v>
      </c>
      <c r="E7" s="41">
        <v>0.70833333333333337</v>
      </c>
      <c r="F7" s="42"/>
      <c r="G7" s="43" t="str">
        <f t="shared" ref="G7:G37" si="0">IF(E7&gt;$J$4,E7,"")</f>
        <v/>
      </c>
      <c r="H7" s="41"/>
      <c r="I7" s="41"/>
      <c r="J7" s="44">
        <f t="shared" ref="J7:J37" si="1">(MOD(E7-B7,1)*24)</f>
        <v>17</v>
      </c>
      <c r="K7" s="45">
        <f t="shared" ref="K7:K37" si="2">(MOD(B7-$K$3,1)*1440)</f>
        <v>985</v>
      </c>
      <c r="L7" s="46">
        <f t="shared" ref="L7:L37" si="3">MOD($L$3-E7,1)*24</f>
        <v>0</v>
      </c>
      <c r="M7" s="47" t="e">
        <f t="shared" ref="M7:M37" si="4">((MOD(G7-$L$3,1)*24)+(IF(B7&lt;$S$3,"+0.00","-0.5")))-(IF(G7&lt;$J$3,"-0.5","0"))</f>
        <v>#VALUE!</v>
      </c>
      <c r="N7" s="48">
        <f t="shared" ref="N7:N37" si="5">COUNTIF(B7:H7,"ABSENT")</f>
        <v>0</v>
      </c>
      <c r="O7" s="49">
        <f t="shared" ref="O7:O37" si="6">($N$3/30)*N7</f>
        <v>0</v>
      </c>
      <c r="P7" s="49">
        <f t="shared" ref="P7:P37" si="7">$Q$3*U7</f>
        <v>0</v>
      </c>
      <c r="Q7" s="49">
        <f t="shared" ref="Q7:Q37" si="8">$P$3*V7</f>
        <v>0</v>
      </c>
      <c r="R7" s="50">
        <f t="shared" ref="R7:R37" si="9">($O$3*AA7)-(MOD(I7-H7,1)*24.29)*$P$3</f>
        <v>0</v>
      </c>
      <c r="S7" s="49">
        <f t="shared" ref="S7:S37" si="10">($P$3*W7)*125%</f>
        <v>0</v>
      </c>
      <c r="T7" s="51">
        <f t="shared" ref="T7:T37" si="11">S7-SUM(O7:R7)</f>
        <v>0</v>
      </c>
      <c r="U7" s="52">
        <f t="shared" ref="U7:U37" si="12">IF(AND(K7&gt;499,K7&gt;=271),0,IF(K7&lt;=270,K7,0))</f>
        <v>0</v>
      </c>
      <c r="V7" s="53">
        <f t="shared" ref="V7:V37" si="13">IF(AND(L7&gt;17,L7&gt;=17),0,IF(L7&lt;=15,L7,0))</f>
        <v>0</v>
      </c>
      <c r="W7" s="47">
        <f t="shared" ref="W7:W37" si="14">IFERROR(M7*1,0)</f>
        <v>0</v>
      </c>
      <c r="X7" s="54"/>
      <c r="Y7" s="17"/>
      <c r="Z7" s="55">
        <f t="shared" ref="Z7:Z37" si="15">COUNTBLANK(I7)</f>
        <v>1</v>
      </c>
      <c r="AA7" s="55">
        <f t="shared" ref="AA7:AA37" si="16">COUNTIF(Z7,"0")</f>
        <v>0</v>
      </c>
      <c r="AB7" s="56"/>
      <c r="AC7" s="19"/>
    </row>
    <row r="8" spans="1:29" ht="15.6" x14ac:dyDescent="0.3">
      <c r="A8" s="12">
        <v>2</v>
      </c>
      <c r="B8" s="41">
        <v>0.3125</v>
      </c>
      <c r="C8" s="41">
        <v>0.48958333333333331</v>
      </c>
      <c r="D8" s="41">
        <v>0.53125</v>
      </c>
      <c r="E8" s="41">
        <v>0.75</v>
      </c>
      <c r="F8" s="42"/>
      <c r="G8" s="43">
        <f t="shared" si="0"/>
        <v>0.75</v>
      </c>
      <c r="H8" s="41"/>
      <c r="I8" s="57"/>
      <c r="J8" s="44">
        <f t="shared" si="1"/>
        <v>10.5</v>
      </c>
      <c r="K8" s="45">
        <f t="shared" si="2"/>
        <v>1435</v>
      </c>
      <c r="L8" s="46">
        <f t="shared" si="3"/>
        <v>23</v>
      </c>
      <c r="M8" s="47">
        <f t="shared" si="4"/>
        <v>0.99999999999999911</v>
      </c>
      <c r="N8" s="48">
        <f t="shared" si="5"/>
        <v>0</v>
      </c>
      <c r="O8" s="49">
        <f t="shared" si="6"/>
        <v>0</v>
      </c>
      <c r="P8" s="49">
        <f t="shared" si="7"/>
        <v>0</v>
      </c>
      <c r="Q8" s="49">
        <f t="shared" si="8"/>
        <v>0</v>
      </c>
      <c r="R8" s="50">
        <f t="shared" si="9"/>
        <v>0</v>
      </c>
      <c r="S8" s="49">
        <f t="shared" si="10"/>
        <v>52.083333333333286</v>
      </c>
      <c r="T8" s="51">
        <f t="shared" si="11"/>
        <v>52.083333333333286</v>
      </c>
      <c r="U8" s="52">
        <f t="shared" si="12"/>
        <v>0</v>
      </c>
      <c r="V8" s="53">
        <f t="shared" si="13"/>
        <v>0</v>
      </c>
      <c r="W8" s="47">
        <f t="shared" si="14"/>
        <v>0.99999999999999911</v>
      </c>
      <c r="X8" s="54"/>
      <c r="Y8" s="17"/>
      <c r="Z8" s="55">
        <f t="shared" si="15"/>
        <v>1</v>
      </c>
      <c r="AA8" s="55">
        <f t="shared" si="16"/>
        <v>0</v>
      </c>
      <c r="AB8" s="58"/>
      <c r="AC8" s="19"/>
    </row>
    <row r="9" spans="1:29" ht="14.4" x14ac:dyDescent="0.3">
      <c r="A9" s="12">
        <v>3</v>
      </c>
      <c r="B9" s="41">
        <v>0.32291666666666669</v>
      </c>
      <c r="C9" s="41">
        <v>0.48958333333333331</v>
      </c>
      <c r="D9" s="41">
        <v>0.53125</v>
      </c>
      <c r="E9" s="41">
        <v>0.70833333333333337</v>
      </c>
      <c r="F9" s="42"/>
      <c r="G9" s="43" t="str">
        <f t="shared" si="0"/>
        <v/>
      </c>
      <c r="H9" s="41"/>
      <c r="I9" s="41"/>
      <c r="J9" s="44">
        <f t="shared" si="1"/>
        <v>9.25</v>
      </c>
      <c r="K9" s="45">
        <f t="shared" si="2"/>
        <v>10.000000000000044</v>
      </c>
      <c r="L9" s="46">
        <f t="shared" si="3"/>
        <v>0</v>
      </c>
      <c r="M9" s="47" t="e">
        <f t="shared" si="4"/>
        <v>#VALUE!</v>
      </c>
      <c r="N9" s="48">
        <f t="shared" si="5"/>
        <v>0</v>
      </c>
      <c r="O9" s="49">
        <f t="shared" si="6"/>
        <v>0</v>
      </c>
      <c r="P9" s="49">
        <f t="shared" si="7"/>
        <v>6.9444444444444748</v>
      </c>
      <c r="Q9" s="49">
        <f t="shared" si="8"/>
        <v>0</v>
      </c>
      <c r="R9" s="50">
        <f t="shared" si="9"/>
        <v>0</v>
      </c>
      <c r="S9" s="49">
        <f t="shared" si="10"/>
        <v>0</v>
      </c>
      <c r="T9" s="51">
        <f t="shared" si="11"/>
        <v>-6.9444444444444748</v>
      </c>
      <c r="U9" s="52">
        <f t="shared" si="12"/>
        <v>10.000000000000044</v>
      </c>
      <c r="V9" s="53">
        <f t="shared" si="13"/>
        <v>0</v>
      </c>
      <c r="W9" s="47">
        <f t="shared" si="14"/>
        <v>0</v>
      </c>
      <c r="X9" s="54"/>
      <c r="Y9" s="17"/>
      <c r="Z9" s="55">
        <f t="shared" si="15"/>
        <v>1</v>
      </c>
      <c r="AA9" s="55">
        <f t="shared" si="16"/>
        <v>0</v>
      </c>
      <c r="AB9" s="58"/>
      <c r="AC9" s="19"/>
    </row>
    <row r="10" spans="1:29" ht="14.4" x14ac:dyDescent="0.3">
      <c r="A10" s="12">
        <v>4</v>
      </c>
      <c r="B10" s="41">
        <v>0.32361111111111113</v>
      </c>
      <c r="C10" s="41">
        <v>0.48958333333333331</v>
      </c>
      <c r="D10" s="41">
        <v>0.53125</v>
      </c>
      <c r="E10" s="41">
        <v>0.58333333333333337</v>
      </c>
      <c r="F10" s="42"/>
      <c r="G10" s="43" t="str">
        <f t="shared" si="0"/>
        <v/>
      </c>
      <c r="H10" s="42"/>
      <c r="I10" s="42"/>
      <c r="J10" s="44">
        <f t="shared" si="1"/>
        <v>6.2333333333333343</v>
      </c>
      <c r="K10" s="45">
        <f t="shared" si="2"/>
        <v>11.000000000000041</v>
      </c>
      <c r="L10" s="46">
        <f t="shared" si="3"/>
        <v>3</v>
      </c>
      <c r="M10" s="47" t="e">
        <f t="shared" si="4"/>
        <v>#VALUE!</v>
      </c>
      <c r="N10" s="48">
        <f t="shared" si="5"/>
        <v>0</v>
      </c>
      <c r="O10" s="49">
        <f t="shared" si="6"/>
        <v>0</v>
      </c>
      <c r="P10" s="49">
        <f t="shared" si="7"/>
        <v>7.6388888888889168</v>
      </c>
      <c r="Q10" s="49">
        <f t="shared" si="8"/>
        <v>125</v>
      </c>
      <c r="R10" s="50">
        <f t="shared" si="9"/>
        <v>0</v>
      </c>
      <c r="S10" s="49">
        <f t="shared" si="10"/>
        <v>0</v>
      </c>
      <c r="T10" s="51">
        <f t="shared" si="11"/>
        <v>-132.63888888888891</v>
      </c>
      <c r="U10" s="52">
        <f t="shared" si="12"/>
        <v>11.000000000000041</v>
      </c>
      <c r="V10" s="53">
        <f t="shared" si="13"/>
        <v>3</v>
      </c>
      <c r="W10" s="47">
        <f t="shared" si="14"/>
        <v>0</v>
      </c>
      <c r="X10" s="54"/>
      <c r="Y10" s="17"/>
      <c r="Z10" s="55">
        <f t="shared" si="15"/>
        <v>1</v>
      </c>
      <c r="AA10" s="55">
        <f t="shared" si="16"/>
        <v>0</v>
      </c>
      <c r="AB10" s="58"/>
      <c r="AC10" s="19"/>
    </row>
    <row r="11" spans="1:29" ht="14.4" x14ac:dyDescent="0.3">
      <c r="A11" s="12">
        <v>5</v>
      </c>
      <c r="B11" s="41"/>
      <c r="C11" s="41"/>
      <c r="D11" s="41"/>
      <c r="E11" s="41"/>
      <c r="F11" s="42"/>
      <c r="G11" s="43" t="str">
        <f t="shared" si="0"/>
        <v/>
      </c>
      <c r="H11" s="41">
        <v>0.3125</v>
      </c>
      <c r="I11" s="41">
        <v>0.48958333333333331</v>
      </c>
      <c r="J11" s="44">
        <f t="shared" si="1"/>
        <v>0</v>
      </c>
      <c r="K11" s="45">
        <f t="shared" si="2"/>
        <v>985</v>
      </c>
      <c r="L11" s="46">
        <f t="shared" si="3"/>
        <v>17</v>
      </c>
      <c r="M11" s="47" t="e">
        <f t="shared" si="4"/>
        <v>#VALUE!</v>
      </c>
      <c r="N11" s="48">
        <f t="shared" si="5"/>
        <v>0</v>
      </c>
      <c r="O11" s="49">
        <f t="shared" si="6"/>
        <v>0</v>
      </c>
      <c r="P11" s="49">
        <f t="shared" si="7"/>
        <v>0</v>
      </c>
      <c r="Q11" s="49">
        <f t="shared" si="8"/>
        <v>0</v>
      </c>
      <c r="R11" s="50">
        <f t="shared" si="9"/>
        <v>154.11024305555557</v>
      </c>
      <c r="S11" s="49">
        <f t="shared" si="10"/>
        <v>0</v>
      </c>
      <c r="T11" s="51">
        <f t="shared" si="11"/>
        <v>-154.11024305555557</v>
      </c>
      <c r="U11" s="52">
        <f t="shared" si="12"/>
        <v>0</v>
      </c>
      <c r="V11" s="53">
        <f t="shared" si="13"/>
        <v>0</v>
      </c>
      <c r="W11" s="47">
        <f t="shared" si="14"/>
        <v>0</v>
      </c>
      <c r="X11" s="54"/>
      <c r="Y11" s="17"/>
      <c r="Z11" s="55">
        <f t="shared" si="15"/>
        <v>0</v>
      </c>
      <c r="AA11" s="55">
        <f t="shared" si="16"/>
        <v>1</v>
      </c>
      <c r="AB11" s="58"/>
      <c r="AC11" s="19"/>
    </row>
    <row r="12" spans="1:29" ht="14.4" x14ac:dyDescent="0.3">
      <c r="A12" s="12">
        <v>6</v>
      </c>
      <c r="B12" s="41"/>
      <c r="C12" s="41"/>
      <c r="D12" s="41"/>
      <c r="E12" s="41"/>
      <c r="F12" s="42"/>
      <c r="G12" s="43" t="str">
        <f t="shared" si="0"/>
        <v/>
      </c>
      <c r="H12" s="41">
        <v>0.53125</v>
      </c>
      <c r="I12" s="41">
        <v>0.70833333333333337</v>
      </c>
      <c r="J12" s="44">
        <f t="shared" si="1"/>
        <v>0</v>
      </c>
      <c r="K12" s="45">
        <f t="shared" si="2"/>
        <v>985</v>
      </c>
      <c r="L12" s="46">
        <f t="shared" si="3"/>
        <v>17</v>
      </c>
      <c r="M12" s="47" t="e">
        <f t="shared" si="4"/>
        <v>#VALUE!</v>
      </c>
      <c r="N12" s="48">
        <f t="shared" si="5"/>
        <v>0</v>
      </c>
      <c r="O12" s="49">
        <f t="shared" si="6"/>
        <v>0</v>
      </c>
      <c r="P12" s="49">
        <f t="shared" si="7"/>
        <v>0</v>
      </c>
      <c r="Q12" s="49">
        <f t="shared" si="8"/>
        <v>0</v>
      </c>
      <c r="R12" s="50">
        <f t="shared" si="9"/>
        <v>154.11024305555554</v>
      </c>
      <c r="S12" s="49">
        <f t="shared" si="10"/>
        <v>0</v>
      </c>
      <c r="T12" s="51">
        <f t="shared" si="11"/>
        <v>-154.11024305555554</v>
      </c>
      <c r="U12" s="52">
        <f t="shared" si="12"/>
        <v>0</v>
      </c>
      <c r="V12" s="53">
        <f t="shared" si="13"/>
        <v>0</v>
      </c>
      <c r="W12" s="47">
        <f t="shared" si="14"/>
        <v>0</v>
      </c>
      <c r="X12" s="54"/>
      <c r="Y12" s="17"/>
      <c r="Z12" s="55">
        <f t="shared" si="15"/>
        <v>0</v>
      </c>
      <c r="AA12" s="55">
        <f t="shared" si="16"/>
        <v>1</v>
      </c>
      <c r="AB12" s="58"/>
      <c r="AC12" s="19"/>
    </row>
    <row r="13" spans="1:29" ht="14.4" x14ac:dyDescent="0.3">
      <c r="A13" s="12">
        <v>7</v>
      </c>
      <c r="B13" s="41">
        <v>0.3263888888888889</v>
      </c>
      <c r="C13" s="41">
        <v>0.48958333333333331</v>
      </c>
      <c r="D13" s="41">
        <v>0.53125</v>
      </c>
      <c r="E13" s="41">
        <v>0.70833333333333337</v>
      </c>
      <c r="F13" s="42"/>
      <c r="G13" s="43" t="str">
        <f t="shared" si="0"/>
        <v/>
      </c>
      <c r="H13" s="41"/>
      <c r="I13" s="41"/>
      <c r="J13" s="44">
        <f t="shared" si="1"/>
        <v>9.1666666666666679</v>
      </c>
      <c r="K13" s="45">
        <f t="shared" si="2"/>
        <v>15.000000000000027</v>
      </c>
      <c r="L13" s="46">
        <f t="shared" si="3"/>
        <v>0</v>
      </c>
      <c r="M13" s="47" t="e">
        <f t="shared" si="4"/>
        <v>#VALUE!</v>
      </c>
      <c r="N13" s="48">
        <f t="shared" si="5"/>
        <v>0</v>
      </c>
      <c r="O13" s="49">
        <f t="shared" si="6"/>
        <v>0</v>
      </c>
      <c r="P13" s="49">
        <f t="shared" si="7"/>
        <v>10.416666666666686</v>
      </c>
      <c r="Q13" s="49">
        <f t="shared" si="8"/>
        <v>0</v>
      </c>
      <c r="R13" s="50">
        <f t="shared" si="9"/>
        <v>0</v>
      </c>
      <c r="S13" s="49">
        <f t="shared" si="10"/>
        <v>0</v>
      </c>
      <c r="T13" s="51">
        <f t="shared" si="11"/>
        <v>-10.416666666666686</v>
      </c>
      <c r="U13" s="52">
        <f t="shared" si="12"/>
        <v>15.000000000000027</v>
      </c>
      <c r="V13" s="53">
        <f t="shared" si="13"/>
        <v>0</v>
      </c>
      <c r="W13" s="47">
        <f t="shared" si="14"/>
        <v>0</v>
      </c>
      <c r="X13" s="54"/>
      <c r="Y13" s="17"/>
      <c r="Z13" s="55">
        <f t="shared" si="15"/>
        <v>1</v>
      </c>
      <c r="AA13" s="55">
        <f t="shared" si="16"/>
        <v>0</v>
      </c>
      <c r="AB13" s="58"/>
      <c r="AC13" s="19"/>
    </row>
    <row r="14" spans="1:29" ht="14.4" x14ac:dyDescent="0.3">
      <c r="A14" s="12">
        <v>8</v>
      </c>
      <c r="B14" s="59"/>
      <c r="C14" s="41"/>
      <c r="D14" s="41"/>
      <c r="E14" s="41"/>
      <c r="F14" s="42" t="s">
        <v>21</v>
      </c>
      <c r="G14" s="43" t="str">
        <f t="shared" si="0"/>
        <v/>
      </c>
      <c r="H14" s="41"/>
      <c r="I14" s="41"/>
      <c r="J14" s="44">
        <f t="shared" si="1"/>
        <v>0</v>
      </c>
      <c r="K14" s="45">
        <f t="shared" si="2"/>
        <v>985</v>
      </c>
      <c r="L14" s="46">
        <f t="shared" si="3"/>
        <v>17</v>
      </c>
      <c r="M14" s="47" t="e">
        <f t="shared" si="4"/>
        <v>#VALUE!</v>
      </c>
      <c r="N14" s="48">
        <f t="shared" si="5"/>
        <v>1</v>
      </c>
      <c r="O14" s="49">
        <f t="shared" si="6"/>
        <v>333.33333333333331</v>
      </c>
      <c r="P14" s="49">
        <f t="shared" si="7"/>
        <v>0</v>
      </c>
      <c r="Q14" s="49">
        <f t="shared" si="8"/>
        <v>0</v>
      </c>
      <c r="R14" s="50">
        <f t="shared" si="9"/>
        <v>0</v>
      </c>
      <c r="S14" s="49">
        <f t="shared" si="10"/>
        <v>0</v>
      </c>
      <c r="T14" s="51">
        <f t="shared" si="11"/>
        <v>-333.33333333333331</v>
      </c>
      <c r="U14" s="52">
        <f t="shared" si="12"/>
        <v>0</v>
      </c>
      <c r="V14" s="53">
        <f t="shared" si="13"/>
        <v>0</v>
      </c>
      <c r="W14" s="47">
        <f t="shared" si="14"/>
        <v>0</v>
      </c>
      <c r="X14" s="54"/>
      <c r="Y14" s="17"/>
      <c r="Z14" s="55">
        <f t="shared" si="15"/>
        <v>1</v>
      </c>
      <c r="AA14" s="55">
        <f t="shared" si="16"/>
        <v>0</v>
      </c>
      <c r="AB14" s="58"/>
      <c r="AC14" s="19"/>
    </row>
    <row r="15" spans="1:29" ht="14.4" x14ac:dyDescent="0.3">
      <c r="A15" s="12">
        <v>9</v>
      </c>
      <c r="B15" s="41">
        <v>0.31666666666666665</v>
      </c>
      <c r="C15" s="41">
        <v>0.48958333333333331</v>
      </c>
      <c r="D15" s="41">
        <v>0.53125</v>
      </c>
      <c r="E15" s="41">
        <v>0.70833333333333337</v>
      </c>
      <c r="F15" s="42"/>
      <c r="G15" s="43" t="str">
        <f t="shared" si="0"/>
        <v/>
      </c>
      <c r="H15" s="41"/>
      <c r="I15" s="41"/>
      <c r="J15" s="44">
        <f t="shared" si="1"/>
        <v>9.4000000000000021</v>
      </c>
      <c r="K15" s="45">
        <f t="shared" si="2"/>
        <v>0.99999999999999645</v>
      </c>
      <c r="L15" s="46">
        <f t="shared" si="3"/>
        <v>0</v>
      </c>
      <c r="M15" s="47" t="e">
        <f t="shared" si="4"/>
        <v>#VALUE!</v>
      </c>
      <c r="N15" s="48">
        <f t="shared" si="5"/>
        <v>0</v>
      </c>
      <c r="O15" s="49">
        <f t="shared" si="6"/>
        <v>0</v>
      </c>
      <c r="P15" s="49">
        <f t="shared" si="7"/>
        <v>0.69444444444444198</v>
      </c>
      <c r="Q15" s="49">
        <f t="shared" si="8"/>
        <v>0</v>
      </c>
      <c r="R15" s="50">
        <f t="shared" si="9"/>
        <v>0</v>
      </c>
      <c r="S15" s="49">
        <f t="shared" si="10"/>
        <v>0</v>
      </c>
      <c r="T15" s="51">
        <f t="shared" si="11"/>
        <v>-0.69444444444444198</v>
      </c>
      <c r="U15" s="52">
        <f t="shared" si="12"/>
        <v>0.99999999999999645</v>
      </c>
      <c r="V15" s="53">
        <f t="shared" si="13"/>
        <v>0</v>
      </c>
      <c r="W15" s="47">
        <f t="shared" si="14"/>
        <v>0</v>
      </c>
      <c r="X15" s="54"/>
      <c r="Y15" s="17"/>
      <c r="Z15" s="55">
        <f t="shared" si="15"/>
        <v>1</v>
      </c>
      <c r="AA15" s="55">
        <f t="shared" si="16"/>
        <v>0</v>
      </c>
      <c r="AB15" s="58"/>
      <c r="AC15" s="19"/>
    </row>
    <row r="16" spans="1:29" ht="14.4" x14ac:dyDescent="0.3">
      <c r="A16" s="12">
        <v>10</v>
      </c>
      <c r="B16" s="41">
        <v>0.3125</v>
      </c>
      <c r="C16" s="41">
        <v>0.48958333333333331</v>
      </c>
      <c r="D16" s="41">
        <v>0.53125</v>
      </c>
      <c r="E16" s="41">
        <v>0.72916666666666663</v>
      </c>
      <c r="F16" s="42"/>
      <c r="G16" s="43" t="str">
        <f t="shared" si="0"/>
        <v/>
      </c>
      <c r="H16" s="41"/>
      <c r="I16" s="41"/>
      <c r="J16" s="44">
        <f t="shared" si="1"/>
        <v>10</v>
      </c>
      <c r="K16" s="45">
        <f t="shared" si="2"/>
        <v>1435</v>
      </c>
      <c r="L16" s="46">
        <f t="shared" si="3"/>
        <v>23.5</v>
      </c>
      <c r="M16" s="47" t="e">
        <f t="shared" si="4"/>
        <v>#VALUE!</v>
      </c>
      <c r="N16" s="48">
        <f t="shared" si="5"/>
        <v>0</v>
      </c>
      <c r="O16" s="49">
        <f t="shared" si="6"/>
        <v>0</v>
      </c>
      <c r="P16" s="49">
        <f t="shared" si="7"/>
        <v>0</v>
      </c>
      <c r="Q16" s="49">
        <f t="shared" si="8"/>
        <v>0</v>
      </c>
      <c r="R16" s="50">
        <f t="shared" si="9"/>
        <v>0</v>
      </c>
      <c r="S16" s="49">
        <f t="shared" si="10"/>
        <v>0</v>
      </c>
      <c r="T16" s="51">
        <f t="shared" si="11"/>
        <v>0</v>
      </c>
      <c r="U16" s="52">
        <f t="shared" si="12"/>
        <v>0</v>
      </c>
      <c r="V16" s="53">
        <f t="shared" si="13"/>
        <v>0</v>
      </c>
      <c r="W16" s="47">
        <f t="shared" si="14"/>
        <v>0</v>
      </c>
      <c r="X16" s="54"/>
      <c r="Y16" s="17"/>
      <c r="Z16" s="55">
        <f t="shared" si="15"/>
        <v>1</v>
      </c>
      <c r="AA16" s="55">
        <f t="shared" si="16"/>
        <v>0</v>
      </c>
      <c r="AB16" s="58"/>
      <c r="AC16" s="19"/>
    </row>
    <row r="17" spans="1:29" ht="14.4" x14ac:dyDescent="0.3">
      <c r="A17" s="12">
        <v>11</v>
      </c>
      <c r="B17" s="41">
        <v>0.3125</v>
      </c>
      <c r="C17" s="41">
        <v>0.48958333333333331</v>
      </c>
      <c r="D17" s="41">
        <v>0.53125</v>
      </c>
      <c r="E17" s="41">
        <v>0.72986111111111107</v>
      </c>
      <c r="F17" s="42"/>
      <c r="G17" s="43">
        <f t="shared" si="0"/>
        <v>0.72986111111111107</v>
      </c>
      <c r="H17" s="41"/>
      <c r="I17" s="41"/>
      <c r="J17" s="44">
        <f t="shared" si="1"/>
        <v>10.016666666666666</v>
      </c>
      <c r="K17" s="45">
        <f t="shared" si="2"/>
        <v>1435</v>
      </c>
      <c r="L17" s="46">
        <f t="shared" si="3"/>
        <v>23.483333333333334</v>
      </c>
      <c r="M17" s="47">
        <f t="shared" si="4"/>
        <v>0.51666666666666483</v>
      </c>
      <c r="N17" s="48">
        <f t="shared" si="5"/>
        <v>0</v>
      </c>
      <c r="O17" s="49">
        <f t="shared" si="6"/>
        <v>0</v>
      </c>
      <c r="P17" s="49">
        <f t="shared" si="7"/>
        <v>0</v>
      </c>
      <c r="Q17" s="49">
        <f t="shared" si="8"/>
        <v>0</v>
      </c>
      <c r="R17" s="50">
        <f t="shared" si="9"/>
        <v>0</v>
      </c>
      <c r="S17" s="49">
        <f t="shared" si="10"/>
        <v>26.909722222222126</v>
      </c>
      <c r="T17" s="51">
        <f t="shared" si="11"/>
        <v>26.909722222222126</v>
      </c>
      <c r="U17" s="52">
        <f t="shared" si="12"/>
        <v>0</v>
      </c>
      <c r="V17" s="53">
        <f t="shared" si="13"/>
        <v>0</v>
      </c>
      <c r="W17" s="47">
        <f t="shared" si="14"/>
        <v>0.51666666666666483</v>
      </c>
      <c r="X17" s="54"/>
      <c r="Y17" s="17"/>
      <c r="Z17" s="55">
        <f t="shared" si="15"/>
        <v>1</v>
      </c>
      <c r="AA17" s="55">
        <f t="shared" si="16"/>
        <v>0</v>
      </c>
      <c r="AB17" s="58"/>
      <c r="AC17" s="19"/>
    </row>
    <row r="18" spans="1:29" ht="15.6" x14ac:dyDescent="0.3">
      <c r="A18" s="12">
        <v>12</v>
      </c>
      <c r="B18" s="41"/>
      <c r="C18" s="41">
        <v>0.48958333333333331</v>
      </c>
      <c r="D18" s="41">
        <v>0.53125</v>
      </c>
      <c r="E18" s="41">
        <v>0.72986111111111107</v>
      </c>
      <c r="F18" s="42"/>
      <c r="G18" s="43">
        <f t="shared" si="0"/>
        <v>0.72986111111111107</v>
      </c>
      <c r="H18" s="57"/>
      <c r="I18" s="41"/>
      <c r="J18" s="44">
        <f t="shared" si="1"/>
        <v>17.516666666666666</v>
      </c>
      <c r="K18" s="45">
        <f t="shared" si="2"/>
        <v>985</v>
      </c>
      <c r="L18" s="46">
        <f t="shared" si="3"/>
        <v>23.483333333333334</v>
      </c>
      <c r="M18" s="47">
        <f t="shared" si="4"/>
        <v>0.51666666666666483</v>
      </c>
      <c r="N18" s="48">
        <f t="shared" si="5"/>
        <v>0</v>
      </c>
      <c r="O18" s="49">
        <f t="shared" si="6"/>
        <v>0</v>
      </c>
      <c r="P18" s="49">
        <f t="shared" si="7"/>
        <v>0</v>
      </c>
      <c r="Q18" s="49">
        <f t="shared" si="8"/>
        <v>0</v>
      </c>
      <c r="R18" s="50">
        <f t="shared" si="9"/>
        <v>0</v>
      </c>
      <c r="S18" s="49">
        <f t="shared" si="10"/>
        <v>26.909722222222126</v>
      </c>
      <c r="T18" s="51">
        <f t="shared" si="11"/>
        <v>26.909722222222126</v>
      </c>
      <c r="U18" s="52">
        <f t="shared" si="12"/>
        <v>0</v>
      </c>
      <c r="V18" s="53">
        <f t="shared" si="13"/>
        <v>0</v>
      </c>
      <c r="W18" s="47">
        <f t="shared" si="14"/>
        <v>0.51666666666666483</v>
      </c>
      <c r="X18" s="54"/>
      <c r="Y18" s="17"/>
      <c r="Z18" s="55">
        <f t="shared" si="15"/>
        <v>1</v>
      </c>
      <c r="AA18" s="55">
        <f t="shared" si="16"/>
        <v>0</v>
      </c>
      <c r="AB18" s="58"/>
      <c r="AC18" s="19"/>
    </row>
    <row r="19" spans="1:29" ht="14.4" x14ac:dyDescent="0.3">
      <c r="A19" s="12">
        <v>13</v>
      </c>
      <c r="B19" s="41"/>
      <c r="C19" s="41"/>
      <c r="D19" s="41"/>
      <c r="E19" s="41"/>
      <c r="F19" s="42"/>
      <c r="G19" s="43" t="str">
        <f t="shared" si="0"/>
        <v/>
      </c>
      <c r="H19" s="41"/>
      <c r="I19" s="41"/>
      <c r="J19" s="44">
        <f t="shared" si="1"/>
        <v>0</v>
      </c>
      <c r="K19" s="45">
        <f t="shared" si="2"/>
        <v>985</v>
      </c>
      <c r="L19" s="46">
        <f t="shared" si="3"/>
        <v>17</v>
      </c>
      <c r="M19" s="47" t="e">
        <f t="shared" si="4"/>
        <v>#VALUE!</v>
      </c>
      <c r="N19" s="48">
        <f t="shared" si="5"/>
        <v>0</v>
      </c>
      <c r="O19" s="49">
        <f t="shared" si="6"/>
        <v>0</v>
      </c>
      <c r="P19" s="49">
        <f t="shared" si="7"/>
        <v>0</v>
      </c>
      <c r="Q19" s="49">
        <f t="shared" si="8"/>
        <v>0</v>
      </c>
      <c r="R19" s="50">
        <f t="shared" si="9"/>
        <v>0</v>
      </c>
      <c r="S19" s="49">
        <f t="shared" si="10"/>
        <v>0</v>
      </c>
      <c r="T19" s="51">
        <f t="shared" si="11"/>
        <v>0</v>
      </c>
      <c r="U19" s="52">
        <f t="shared" si="12"/>
        <v>0</v>
      </c>
      <c r="V19" s="53">
        <f t="shared" si="13"/>
        <v>0</v>
      </c>
      <c r="W19" s="47">
        <f t="shared" si="14"/>
        <v>0</v>
      </c>
      <c r="X19" s="54"/>
      <c r="Y19" s="17"/>
      <c r="Z19" s="55">
        <f t="shared" si="15"/>
        <v>1</v>
      </c>
      <c r="AA19" s="55">
        <f t="shared" si="16"/>
        <v>0</v>
      </c>
      <c r="AB19" s="58"/>
      <c r="AC19" s="19"/>
    </row>
    <row r="20" spans="1:29" ht="14.4" x14ac:dyDescent="0.3">
      <c r="A20" s="12">
        <v>14</v>
      </c>
      <c r="B20" s="76">
        <v>0.33333333333333331</v>
      </c>
      <c r="C20" s="41"/>
      <c r="D20" s="41"/>
      <c r="E20" s="41">
        <v>0.70833333333333337</v>
      </c>
      <c r="F20" s="42"/>
      <c r="G20" s="43" t="str">
        <f t="shared" si="0"/>
        <v/>
      </c>
      <c r="H20" s="41"/>
      <c r="I20" s="41"/>
      <c r="J20" s="44">
        <f t="shared" si="1"/>
        <v>9.0000000000000018</v>
      </c>
      <c r="K20" s="45">
        <f t="shared" si="2"/>
        <v>24.999999999999993</v>
      </c>
      <c r="L20" s="46">
        <f t="shared" si="3"/>
        <v>0</v>
      </c>
      <c r="M20" s="47" t="e">
        <f t="shared" si="4"/>
        <v>#VALUE!</v>
      </c>
      <c r="N20" s="48">
        <f t="shared" si="5"/>
        <v>0</v>
      </c>
      <c r="O20" s="49">
        <f t="shared" si="6"/>
        <v>0</v>
      </c>
      <c r="P20" s="49">
        <f t="shared" si="7"/>
        <v>17.361111111111107</v>
      </c>
      <c r="Q20" s="49">
        <f t="shared" si="8"/>
        <v>0</v>
      </c>
      <c r="R20" s="50">
        <f t="shared" si="9"/>
        <v>0</v>
      </c>
      <c r="S20" s="49">
        <f t="shared" si="10"/>
        <v>0</v>
      </c>
      <c r="T20" s="51">
        <f t="shared" si="11"/>
        <v>-17.361111111111107</v>
      </c>
      <c r="U20" s="52">
        <f t="shared" si="12"/>
        <v>24.999999999999993</v>
      </c>
      <c r="V20" s="53">
        <f t="shared" si="13"/>
        <v>0</v>
      </c>
      <c r="W20" s="47">
        <f t="shared" si="14"/>
        <v>0</v>
      </c>
      <c r="X20" s="54"/>
      <c r="Y20" s="17"/>
      <c r="Z20" s="55">
        <f t="shared" si="15"/>
        <v>1</v>
      </c>
      <c r="AA20" s="55">
        <f t="shared" si="16"/>
        <v>0</v>
      </c>
      <c r="AB20" s="58"/>
      <c r="AC20" s="19"/>
    </row>
    <row r="21" spans="1:29" ht="15.75" customHeight="1" x14ac:dyDescent="0.3">
      <c r="A21" s="12">
        <v>15</v>
      </c>
      <c r="B21" s="41"/>
      <c r="C21" s="41"/>
      <c r="D21" s="41"/>
      <c r="E21" s="41"/>
      <c r="F21" s="42"/>
      <c r="G21" s="43" t="str">
        <f t="shared" si="0"/>
        <v/>
      </c>
      <c r="H21" s="41"/>
      <c r="I21" s="41"/>
      <c r="J21" s="44">
        <f t="shared" si="1"/>
        <v>0</v>
      </c>
      <c r="K21" s="45">
        <f t="shared" si="2"/>
        <v>985</v>
      </c>
      <c r="L21" s="46">
        <f t="shared" si="3"/>
        <v>17</v>
      </c>
      <c r="M21" s="47" t="e">
        <f t="shared" si="4"/>
        <v>#VALUE!</v>
      </c>
      <c r="N21" s="48">
        <f t="shared" si="5"/>
        <v>0</v>
      </c>
      <c r="O21" s="49">
        <f t="shared" si="6"/>
        <v>0</v>
      </c>
      <c r="P21" s="49">
        <f t="shared" si="7"/>
        <v>0</v>
      </c>
      <c r="Q21" s="49">
        <f t="shared" si="8"/>
        <v>0</v>
      </c>
      <c r="R21" s="50">
        <f t="shared" si="9"/>
        <v>0</v>
      </c>
      <c r="S21" s="49">
        <f t="shared" si="10"/>
        <v>0</v>
      </c>
      <c r="T21" s="51">
        <f t="shared" si="11"/>
        <v>0</v>
      </c>
      <c r="U21" s="52">
        <f t="shared" si="12"/>
        <v>0</v>
      </c>
      <c r="V21" s="53">
        <f t="shared" si="13"/>
        <v>0</v>
      </c>
      <c r="W21" s="47">
        <f t="shared" si="14"/>
        <v>0</v>
      </c>
      <c r="X21" s="54"/>
      <c r="Y21" s="17"/>
      <c r="Z21" s="55">
        <f t="shared" si="15"/>
        <v>1</v>
      </c>
      <c r="AA21" s="55">
        <f t="shared" si="16"/>
        <v>0</v>
      </c>
      <c r="AB21" s="58"/>
      <c r="AC21" s="19"/>
    </row>
    <row r="22" spans="1:29" ht="15.75" customHeight="1" x14ac:dyDescent="0.3">
      <c r="A22" s="12">
        <v>16</v>
      </c>
      <c r="B22" s="41"/>
      <c r="C22" s="41"/>
      <c r="D22" s="41"/>
      <c r="E22" s="41"/>
      <c r="F22" s="42"/>
      <c r="G22" s="43" t="str">
        <f t="shared" si="0"/>
        <v/>
      </c>
      <c r="H22" s="41"/>
      <c r="I22" s="41"/>
      <c r="J22" s="44">
        <f t="shared" si="1"/>
        <v>0</v>
      </c>
      <c r="K22" s="45">
        <f t="shared" si="2"/>
        <v>985</v>
      </c>
      <c r="L22" s="46">
        <f t="shared" si="3"/>
        <v>17</v>
      </c>
      <c r="M22" s="47" t="e">
        <f t="shared" si="4"/>
        <v>#VALUE!</v>
      </c>
      <c r="N22" s="48">
        <f t="shared" si="5"/>
        <v>0</v>
      </c>
      <c r="O22" s="49">
        <f t="shared" si="6"/>
        <v>0</v>
      </c>
      <c r="P22" s="49">
        <f t="shared" si="7"/>
        <v>0</v>
      </c>
      <c r="Q22" s="49">
        <f t="shared" si="8"/>
        <v>0</v>
      </c>
      <c r="R22" s="50">
        <f t="shared" si="9"/>
        <v>0</v>
      </c>
      <c r="S22" s="49">
        <f t="shared" si="10"/>
        <v>0</v>
      </c>
      <c r="T22" s="51">
        <f t="shared" si="11"/>
        <v>0</v>
      </c>
      <c r="U22" s="52">
        <f t="shared" si="12"/>
        <v>0</v>
      </c>
      <c r="V22" s="53">
        <f t="shared" si="13"/>
        <v>0</v>
      </c>
      <c r="W22" s="47">
        <f t="shared" si="14"/>
        <v>0</v>
      </c>
      <c r="X22" s="54"/>
      <c r="Y22" s="17"/>
      <c r="Z22" s="55">
        <f t="shared" si="15"/>
        <v>1</v>
      </c>
      <c r="AA22" s="55">
        <f t="shared" si="16"/>
        <v>0</v>
      </c>
      <c r="AB22" s="58"/>
      <c r="AC22" s="19"/>
    </row>
    <row r="23" spans="1:29" ht="15.75" customHeight="1" x14ac:dyDescent="0.3">
      <c r="A23" s="12">
        <v>17</v>
      </c>
      <c r="B23" s="41"/>
      <c r="C23" s="41"/>
      <c r="D23" s="41"/>
      <c r="E23" s="41"/>
      <c r="F23" s="42"/>
      <c r="G23" s="43" t="str">
        <f t="shared" si="0"/>
        <v/>
      </c>
      <c r="H23" s="41"/>
      <c r="I23" s="41"/>
      <c r="J23" s="44">
        <f t="shared" si="1"/>
        <v>0</v>
      </c>
      <c r="K23" s="45">
        <f t="shared" si="2"/>
        <v>985</v>
      </c>
      <c r="L23" s="46">
        <f t="shared" si="3"/>
        <v>17</v>
      </c>
      <c r="M23" s="47" t="e">
        <f t="shared" si="4"/>
        <v>#VALUE!</v>
      </c>
      <c r="N23" s="48">
        <f t="shared" si="5"/>
        <v>0</v>
      </c>
      <c r="O23" s="49">
        <f t="shared" si="6"/>
        <v>0</v>
      </c>
      <c r="P23" s="49">
        <f t="shared" si="7"/>
        <v>0</v>
      </c>
      <c r="Q23" s="49">
        <f t="shared" si="8"/>
        <v>0</v>
      </c>
      <c r="R23" s="50">
        <f t="shared" si="9"/>
        <v>0</v>
      </c>
      <c r="S23" s="49">
        <f t="shared" si="10"/>
        <v>0</v>
      </c>
      <c r="T23" s="51">
        <f t="shared" si="11"/>
        <v>0</v>
      </c>
      <c r="U23" s="52">
        <f t="shared" si="12"/>
        <v>0</v>
      </c>
      <c r="V23" s="53">
        <f t="shared" si="13"/>
        <v>0</v>
      </c>
      <c r="W23" s="47">
        <f t="shared" si="14"/>
        <v>0</v>
      </c>
      <c r="X23" s="54"/>
      <c r="Y23" s="17"/>
      <c r="Z23" s="55">
        <f t="shared" si="15"/>
        <v>1</v>
      </c>
      <c r="AA23" s="55">
        <f t="shared" si="16"/>
        <v>0</v>
      </c>
      <c r="AB23" s="58"/>
      <c r="AC23" s="19"/>
    </row>
    <row r="24" spans="1:29" ht="15.75" customHeight="1" x14ac:dyDescent="0.3">
      <c r="A24" s="12">
        <v>18</v>
      </c>
      <c r="B24" s="41"/>
      <c r="C24" s="41"/>
      <c r="D24" s="41"/>
      <c r="E24" s="41"/>
      <c r="F24" s="42"/>
      <c r="G24" s="43" t="str">
        <f t="shared" si="0"/>
        <v/>
      </c>
      <c r="H24" s="41"/>
      <c r="I24" s="41"/>
      <c r="J24" s="44">
        <f t="shared" si="1"/>
        <v>0</v>
      </c>
      <c r="K24" s="45">
        <f t="shared" si="2"/>
        <v>985</v>
      </c>
      <c r="L24" s="46">
        <f t="shared" si="3"/>
        <v>17</v>
      </c>
      <c r="M24" s="47" t="e">
        <f t="shared" si="4"/>
        <v>#VALUE!</v>
      </c>
      <c r="N24" s="48">
        <f t="shared" si="5"/>
        <v>0</v>
      </c>
      <c r="O24" s="49">
        <f t="shared" si="6"/>
        <v>0</v>
      </c>
      <c r="P24" s="49">
        <f t="shared" si="7"/>
        <v>0</v>
      </c>
      <c r="Q24" s="49">
        <f t="shared" si="8"/>
        <v>0</v>
      </c>
      <c r="R24" s="50">
        <f t="shared" si="9"/>
        <v>0</v>
      </c>
      <c r="S24" s="49">
        <f t="shared" si="10"/>
        <v>0</v>
      </c>
      <c r="T24" s="51">
        <f t="shared" si="11"/>
        <v>0</v>
      </c>
      <c r="U24" s="52">
        <f t="shared" si="12"/>
        <v>0</v>
      </c>
      <c r="V24" s="53">
        <f t="shared" si="13"/>
        <v>0</v>
      </c>
      <c r="W24" s="47">
        <f t="shared" si="14"/>
        <v>0</v>
      </c>
      <c r="X24" s="54"/>
      <c r="Y24" s="17"/>
      <c r="Z24" s="55">
        <f t="shared" si="15"/>
        <v>1</v>
      </c>
      <c r="AA24" s="55">
        <f t="shared" si="16"/>
        <v>0</v>
      </c>
      <c r="AB24" s="58"/>
      <c r="AC24" s="19"/>
    </row>
    <row r="25" spans="1:29" ht="15.75" customHeight="1" x14ac:dyDescent="0.3">
      <c r="A25" s="12">
        <v>19</v>
      </c>
      <c r="B25" s="41"/>
      <c r="C25" s="41"/>
      <c r="D25" s="41"/>
      <c r="E25" s="41"/>
      <c r="F25" s="42"/>
      <c r="G25" s="43" t="str">
        <f t="shared" si="0"/>
        <v/>
      </c>
      <c r="H25" s="41"/>
      <c r="I25" s="41"/>
      <c r="J25" s="44">
        <f t="shared" si="1"/>
        <v>0</v>
      </c>
      <c r="K25" s="45">
        <f t="shared" si="2"/>
        <v>985</v>
      </c>
      <c r="L25" s="46">
        <f t="shared" si="3"/>
        <v>17</v>
      </c>
      <c r="M25" s="47" t="e">
        <f t="shared" si="4"/>
        <v>#VALUE!</v>
      </c>
      <c r="N25" s="48">
        <f t="shared" si="5"/>
        <v>0</v>
      </c>
      <c r="O25" s="49">
        <f t="shared" si="6"/>
        <v>0</v>
      </c>
      <c r="P25" s="49">
        <f t="shared" si="7"/>
        <v>0</v>
      </c>
      <c r="Q25" s="49">
        <f t="shared" si="8"/>
        <v>0</v>
      </c>
      <c r="R25" s="50">
        <f t="shared" si="9"/>
        <v>0</v>
      </c>
      <c r="S25" s="49">
        <f t="shared" si="10"/>
        <v>0</v>
      </c>
      <c r="T25" s="51">
        <f t="shared" si="11"/>
        <v>0</v>
      </c>
      <c r="U25" s="52">
        <f t="shared" si="12"/>
        <v>0</v>
      </c>
      <c r="V25" s="53">
        <f t="shared" si="13"/>
        <v>0</v>
      </c>
      <c r="W25" s="47">
        <f t="shared" si="14"/>
        <v>0</v>
      </c>
      <c r="X25" s="54"/>
      <c r="Y25" s="17"/>
      <c r="Z25" s="55">
        <f t="shared" si="15"/>
        <v>1</v>
      </c>
      <c r="AA25" s="55">
        <f t="shared" si="16"/>
        <v>0</v>
      </c>
      <c r="AB25" s="58"/>
      <c r="AC25" s="19"/>
    </row>
    <row r="26" spans="1:29" ht="15.75" customHeight="1" x14ac:dyDescent="0.3">
      <c r="A26" s="12">
        <v>20</v>
      </c>
      <c r="B26" s="41"/>
      <c r="C26" s="41"/>
      <c r="D26" s="41"/>
      <c r="E26" s="41"/>
      <c r="F26" s="42"/>
      <c r="G26" s="43" t="str">
        <f t="shared" si="0"/>
        <v/>
      </c>
      <c r="H26" s="41"/>
      <c r="I26" s="41"/>
      <c r="J26" s="44">
        <f t="shared" si="1"/>
        <v>0</v>
      </c>
      <c r="K26" s="45">
        <f t="shared" si="2"/>
        <v>985</v>
      </c>
      <c r="L26" s="46">
        <f t="shared" si="3"/>
        <v>17</v>
      </c>
      <c r="M26" s="47" t="e">
        <f t="shared" si="4"/>
        <v>#VALUE!</v>
      </c>
      <c r="N26" s="48">
        <f t="shared" si="5"/>
        <v>0</v>
      </c>
      <c r="O26" s="49">
        <f t="shared" si="6"/>
        <v>0</v>
      </c>
      <c r="P26" s="49">
        <f t="shared" si="7"/>
        <v>0</v>
      </c>
      <c r="Q26" s="49">
        <f t="shared" si="8"/>
        <v>0</v>
      </c>
      <c r="R26" s="50">
        <f t="shared" si="9"/>
        <v>0</v>
      </c>
      <c r="S26" s="49">
        <f t="shared" si="10"/>
        <v>0</v>
      </c>
      <c r="T26" s="51">
        <f t="shared" si="11"/>
        <v>0</v>
      </c>
      <c r="U26" s="52">
        <f t="shared" si="12"/>
        <v>0</v>
      </c>
      <c r="V26" s="53">
        <f t="shared" si="13"/>
        <v>0</v>
      </c>
      <c r="W26" s="47">
        <f t="shared" si="14"/>
        <v>0</v>
      </c>
      <c r="X26" s="54"/>
      <c r="Y26" s="17"/>
      <c r="Z26" s="55">
        <f t="shared" si="15"/>
        <v>1</v>
      </c>
      <c r="AA26" s="55">
        <f t="shared" si="16"/>
        <v>0</v>
      </c>
      <c r="AB26" s="58"/>
      <c r="AC26" s="19"/>
    </row>
    <row r="27" spans="1:29" ht="15.75" customHeight="1" x14ac:dyDescent="0.3">
      <c r="A27" s="12">
        <v>21</v>
      </c>
      <c r="B27" s="41"/>
      <c r="C27" s="41"/>
      <c r="D27" s="41"/>
      <c r="E27" s="41"/>
      <c r="F27" s="41"/>
      <c r="G27" s="43" t="str">
        <f t="shared" si="0"/>
        <v/>
      </c>
      <c r="H27" s="41"/>
      <c r="I27" s="41"/>
      <c r="J27" s="44">
        <f t="shared" si="1"/>
        <v>0</v>
      </c>
      <c r="K27" s="45">
        <f t="shared" si="2"/>
        <v>985</v>
      </c>
      <c r="L27" s="46">
        <f t="shared" si="3"/>
        <v>17</v>
      </c>
      <c r="M27" s="47" t="e">
        <f t="shared" si="4"/>
        <v>#VALUE!</v>
      </c>
      <c r="N27" s="48">
        <f t="shared" si="5"/>
        <v>0</v>
      </c>
      <c r="O27" s="49">
        <f t="shared" si="6"/>
        <v>0</v>
      </c>
      <c r="P27" s="49">
        <f t="shared" si="7"/>
        <v>0</v>
      </c>
      <c r="Q27" s="49">
        <f t="shared" si="8"/>
        <v>0</v>
      </c>
      <c r="R27" s="50">
        <f t="shared" si="9"/>
        <v>0</v>
      </c>
      <c r="S27" s="49">
        <f t="shared" si="10"/>
        <v>0</v>
      </c>
      <c r="T27" s="51">
        <f t="shared" si="11"/>
        <v>0</v>
      </c>
      <c r="U27" s="52">
        <f t="shared" si="12"/>
        <v>0</v>
      </c>
      <c r="V27" s="53">
        <f t="shared" si="13"/>
        <v>0</v>
      </c>
      <c r="W27" s="47">
        <f t="shared" si="14"/>
        <v>0</v>
      </c>
      <c r="X27" s="54"/>
      <c r="Y27" s="17"/>
      <c r="Z27" s="55">
        <f t="shared" si="15"/>
        <v>1</v>
      </c>
      <c r="AA27" s="55">
        <f t="shared" si="16"/>
        <v>0</v>
      </c>
      <c r="AB27" s="58"/>
      <c r="AC27" s="19"/>
    </row>
    <row r="28" spans="1:29" ht="15.75" customHeight="1" x14ac:dyDescent="0.3">
      <c r="A28" s="12">
        <v>22</v>
      </c>
      <c r="B28" s="41"/>
      <c r="C28" s="41"/>
      <c r="D28" s="41"/>
      <c r="E28" s="41"/>
      <c r="F28" s="42"/>
      <c r="G28" s="43" t="str">
        <f t="shared" si="0"/>
        <v/>
      </c>
      <c r="H28" s="41"/>
      <c r="I28" s="41"/>
      <c r="J28" s="44">
        <f t="shared" si="1"/>
        <v>0</v>
      </c>
      <c r="K28" s="45">
        <f t="shared" si="2"/>
        <v>985</v>
      </c>
      <c r="L28" s="46">
        <f t="shared" si="3"/>
        <v>17</v>
      </c>
      <c r="M28" s="47" t="e">
        <f t="shared" si="4"/>
        <v>#VALUE!</v>
      </c>
      <c r="N28" s="48">
        <f t="shared" si="5"/>
        <v>0</v>
      </c>
      <c r="O28" s="49">
        <f t="shared" si="6"/>
        <v>0</v>
      </c>
      <c r="P28" s="49">
        <f t="shared" si="7"/>
        <v>0</v>
      </c>
      <c r="Q28" s="49">
        <f t="shared" si="8"/>
        <v>0</v>
      </c>
      <c r="R28" s="50">
        <f t="shared" si="9"/>
        <v>0</v>
      </c>
      <c r="S28" s="49">
        <f t="shared" si="10"/>
        <v>0</v>
      </c>
      <c r="T28" s="51">
        <f t="shared" si="11"/>
        <v>0</v>
      </c>
      <c r="U28" s="52">
        <f t="shared" si="12"/>
        <v>0</v>
      </c>
      <c r="V28" s="53">
        <f t="shared" si="13"/>
        <v>0</v>
      </c>
      <c r="W28" s="47">
        <f t="shared" si="14"/>
        <v>0</v>
      </c>
      <c r="X28" s="54"/>
      <c r="Y28" s="17"/>
      <c r="Z28" s="55">
        <f t="shared" si="15"/>
        <v>1</v>
      </c>
      <c r="AA28" s="55">
        <f t="shared" si="16"/>
        <v>0</v>
      </c>
      <c r="AB28" s="58"/>
      <c r="AC28" s="19"/>
    </row>
    <row r="29" spans="1:29" ht="15.75" customHeight="1" x14ac:dyDescent="0.3">
      <c r="A29" s="12">
        <v>23</v>
      </c>
      <c r="B29" s="41"/>
      <c r="C29" s="41"/>
      <c r="D29" s="41"/>
      <c r="E29" s="41"/>
      <c r="F29" s="42"/>
      <c r="G29" s="43" t="str">
        <f t="shared" si="0"/>
        <v/>
      </c>
      <c r="H29" s="41"/>
      <c r="I29" s="41"/>
      <c r="J29" s="44">
        <f t="shared" si="1"/>
        <v>0</v>
      </c>
      <c r="K29" s="45">
        <f t="shared" si="2"/>
        <v>985</v>
      </c>
      <c r="L29" s="46">
        <f t="shared" si="3"/>
        <v>17</v>
      </c>
      <c r="M29" s="47" t="e">
        <f t="shared" si="4"/>
        <v>#VALUE!</v>
      </c>
      <c r="N29" s="48">
        <f t="shared" si="5"/>
        <v>0</v>
      </c>
      <c r="O29" s="49">
        <f t="shared" si="6"/>
        <v>0</v>
      </c>
      <c r="P29" s="49">
        <f t="shared" si="7"/>
        <v>0</v>
      </c>
      <c r="Q29" s="49">
        <f t="shared" si="8"/>
        <v>0</v>
      </c>
      <c r="R29" s="50">
        <f t="shared" si="9"/>
        <v>0</v>
      </c>
      <c r="S29" s="49">
        <f t="shared" si="10"/>
        <v>0</v>
      </c>
      <c r="T29" s="51">
        <f t="shared" si="11"/>
        <v>0</v>
      </c>
      <c r="U29" s="52">
        <f t="shared" si="12"/>
        <v>0</v>
      </c>
      <c r="V29" s="53">
        <f t="shared" si="13"/>
        <v>0</v>
      </c>
      <c r="W29" s="47">
        <f t="shared" si="14"/>
        <v>0</v>
      </c>
      <c r="X29" s="54"/>
      <c r="Y29" s="17"/>
      <c r="Z29" s="55">
        <f t="shared" si="15"/>
        <v>1</v>
      </c>
      <c r="AA29" s="55">
        <f t="shared" si="16"/>
        <v>0</v>
      </c>
      <c r="AB29" s="58"/>
      <c r="AC29" s="19"/>
    </row>
    <row r="30" spans="1:29" ht="15.75" customHeight="1" x14ac:dyDescent="0.3">
      <c r="A30" s="12">
        <v>24</v>
      </c>
      <c r="B30" s="41"/>
      <c r="C30" s="41"/>
      <c r="D30" s="41"/>
      <c r="E30" s="41"/>
      <c r="F30" s="42"/>
      <c r="G30" s="43" t="str">
        <f t="shared" si="0"/>
        <v/>
      </c>
      <c r="H30" s="41"/>
      <c r="I30" s="41"/>
      <c r="J30" s="44">
        <f t="shared" si="1"/>
        <v>0</v>
      </c>
      <c r="K30" s="45">
        <f t="shared" si="2"/>
        <v>985</v>
      </c>
      <c r="L30" s="46">
        <f t="shared" si="3"/>
        <v>17</v>
      </c>
      <c r="M30" s="47" t="e">
        <f t="shared" si="4"/>
        <v>#VALUE!</v>
      </c>
      <c r="N30" s="48">
        <f t="shared" si="5"/>
        <v>0</v>
      </c>
      <c r="O30" s="49">
        <f t="shared" si="6"/>
        <v>0</v>
      </c>
      <c r="P30" s="49">
        <f t="shared" si="7"/>
        <v>0</v>
      </c>
      <c r="Q30" s="49">
        <f t="shared" si="8"/>
        <v>0</v>
      </c>
      <c r="R30" s="50">
        <f t="shared" si="9"/>
        <v>0</v>
      </c>
      <c r="S30" s="49">
        <f t="shared" si="10"/>
        <v>0</v>
      </c>
      <c r="T30" s="51">
        <f t="shared" si="11"/>
        <v>0</v>
      </c>
      <c r="U30" s="52">
        <f t="shared" si="12"/>
        <v>0</v>
      </c>
      <c r="V30" s="53">
        <f t="shared" si="13"/>
        <v>0</v>
      </c>
      <c r="W30" s="47">
        <f t="shared" si="14"/>
        <v>0</v>
      </c>
      <c r="X30" s="54"/>
      <c r="Y30" s="17"/>
      <c r="Z30" s="55">
        <f t="shared" si="15"/>
        <v>1</v>
      </c>
      <c r="AA30" s="55">
        <f t="shared" si="16"/>
        <v>0</v>
      </c>
      <c r="AB30" s="58"/>
      <c r="AC30" s="19"/>
    </row>
    <row r="31" spans="1:29" ht="15.75" customHeight="1" x14ac:dyDescent="0.3">
      <c r="A31" s="12">
        <v>25</v>
      </c>
      <c r="B31" s="41"/>
      <c r="C31" s="41"/>
      <c r="D31" s="41"/>
      <c r="E31" s="41"/>
      <c r="F31" s="42"/>
      <c r="G31" s="43" t="str">
        <f t="shared" si="0"/>
        <v/>
      </c>
      <c r="H31" s="41"/>
      <c r="I31" s="41"/>
      <c r="J31" s="44">
        <f t="shared" si="1"/>
        <v>0</v>
      </c>
      <c r="K31" s="45">
        <f t="shared" si="2"/>
        <v>985</v>
      </c>
      <c r="L31" s="46">
        <f t="shared" si="3"/>
        <v>17</v>
      </c>
      <c r="M31" s="47" t="e">
        <f t="shared" si="4"/>
        <v>#VALUE!</v>
      </c>
      <c r="N31" s="48">
        <f t="shared" si="5"/>
        <v>0</v>
      </c>
      <c r="O31" s="49">
        <f t="shared" si="6"/>
        <v>0</v>
      </c>
      <c r="P31" s="49">
        <f t="shared" si="7"/>
        <v>0</v>
      </c>
      <c r="Q31" s="49">
        <f t="shared" si="8"/>
        <v>0</v>
      </c>
      <c r="R31" s="50">
        <f t="shared" si="9"/>
        <v>0</v>
      </c>
      <c r="S31" s="49">
        <f t="shared" si="10"/>
        <v>0</v>
      </c>
      <c r="T31" s="51">
        <f t="shared" si="11"/>
        <v>0</v>
      </c>
      <c r="U31" s="52">
        <f t="shared" si="12"/>
        <v>0</v>
      </c>
      <c r="V31" s="53">
        <f t="shared" si="13"/>
        <v>0</v>
      </c>
      <c r="W31" s="47">
        <f t="shared" si="14"/>
        <v>0</v>
      </c>
      <c r="X31" s="54"/>
      <c r="Y31" s="17"/>
      <c r="Z31" s="55">
        <f t="shared" si="15"/>
        <v>1</v>
      </c>
      <c r="AA31" s="55">
        <f t="shared" si="16"/>
        <v>0</v>
      </c>
      <c r="AB31" s="58"/>
      <c r="AC31" s="19"/>
    </row>
    <row r="32" spans="1:29" ht="15.75" customHeight="1" x14ac:dyDescent="0.3">
      <c r="A32" s="12">
        <v>26</v>
      </c>
      <c r="B32" s="41"/>
      <c r="C32" s="41"/>
      <c r="D32" s="41"/>
      <c r="E32" s="41"/>
      <c r="F32" s="42"/>
      <c r="G32" s="43" t="str">
        <f t="shared" si="0"/>
        <v/>
      </c>
      <c r="H32" s="41"/>
      <c r="I32" s="41"/>
      <c r="J32" s="44">
        <f t="shared" si="1"/>
        <v>0</v>
      </c>
      <c r="K32" s="45">
        <f t="shared" si="2"/>
        <v>985</v>
      </c>
      <c r="L32" s="46">
        <f t="shared" si="3"/>
        <v>17</v>
      </c>
      <c r="M32" s="47" t="e">
        <f t="shared" si="4"/>
        <v>#VALUE!</v>
      </c>
      <c r="N32" s="48">
        <f t="shared" si="5"/>
        <v>0</v>
      </c>
      <c r="O32" s="49">
        <f t="shared" si="6"/>
        <v>0</v>
      </c>
      <c r="P32" s="49">
        <f t="shared" si="7"/>
        <v>0</v>
      </c>
      <c r="Q32" s="49">
        <f t="shared" si="8"/>
        <v>0</v>
      </c>
      <c r="R32" s="50">
        <f t="shared" si="9"/>
        <v>0</v>
      </c>
      <c r="S32" s="49">
        <f t="shared" si="10"/>
        <v>0</v>
      </c>
      <c r="T32" s="51">
        <f t="shared" si="11"/>
        <v>0</v>
      </c>
      <c r="U32" s="52">
        <f t="shared" si="12"/>
        <v>0</v>
      </c>
      <c r="V32" s="53">
        <f t="shared" si="13"/>
        <v>0</v>
      </c>
      <c r="W32" s="47">
        <f t="shared" si="14"/>
        <v>0</v>
      </c>
      <c r="X32" s="54"/>
      <c r="Y32" s="17"/>
      <c r="Z32" s="55">
        <f t="shared" si="15"/>
        <v>1</v>
      </c>
      <c r="AA32" s="55">
        <f t="shared" si="16"/>
        <v>0</v>
      </c>
      <c r="AB32" s="58"/>
      <c r="AC32" s="19"/>
    </row>
    <row r="33" spans="1:29" ht="15.75" customHeight="1" x14ac:dyDescent="0.3">
      <c r="A33" s="12">
        <v>27</v>
      </c>
      <c r="B33" s="41"/>
      <c r="C33" s="41"/>
      <c r="D33" s="41"/>
      <c r="E33" s="41"/>
      <c r="F33" s="42"/>
      <c r="G33" s="43" t="str">
        <f t="shared" si="0"/>
        <v/>
      </c>
      <c r="H33" s="41"/>
      <c r="I33" s="41"/>
      <c r="J33" s="44">
        <f t="shared" si="1"/>
        <v>0</v>
      </c>
      <c r="K33" s="45">
        <f t="shared" si="2"/>
        <v>985</v>
      </c>
      <c r="L33" s="46">
        <f t="shared" si="3"/>
        <v>17</v>
      </c>
      <c r="M33" s="47" t="e">
        <f t="shared" si="4"/>
        <v>#VALUE!</v>
      </c>
      <c r="N33" s="48">
        <f t="shared" si="5"/>
        <v>0</v>
      </c>
      <c r="O33" s="49">
        <f t="shared" si="6"/>
        <v>0</v>
      </c>
      <c r="P33" s="49">
        <f t="shared" si="7"/>
        <v>0</v>
      </c>
      <c r="Q33" s="49">
        <f t="shared" si="8"/>
        <v>0</v>
      </c>
      <c r="R33" s="50">
        <f t="shared" si="9"/>
        <v>0</v>
      </c>
      <c r="S33" s="49">
        <f t="shared" si="10"/>
        <v>0</v>
      </c>
      <c r="T33" s="51">
        <f t="shared" si="11"/>
        <v>0</v>
      </c>
      <c r="U33" s="52">
        <f t="shared" si="12"/>
        <v>0</v>
      </c>
      <c r="V33" s="53">
        <f t="shared" si="13"/>
        <v>0</v>
      </c>
      <c r="W33" s="47">
        <f t="shared" si="14"/>
        <v>0</v>
      </c>
      <c r="X33" s="54"/>
      <c r="Y33" s="17"/>
      <c r="Z33" s="55">
        <f t="shared" si="15"/>
        <v>1</v>
      </c>
      <c r="AA33" s="55">
        <f t="shared" si="16"/>
        <v>0</v>
      </c>
      <c r="AB33" s="58"/>
      <c r="AC33" s="19"/>
    </row>
    <row r="34" spans="1:29" ht="15.75" customHeight="1" x14ac:dyDescent="0.3">
      <c r="A34" s="12">
        <v>28</v>
      </c>
      <c r="B34" s="41"/>
      <c r="C34" s="41"/>
      <c r="D34" s="41"/>
      <c r="E34" s="41"/>
      <c r="F34" s="42"/>
      <c r="G34" s="43" t="str">
        <f t="shared" si="0"/>
        <v/>
      </c>
      <c r="H34" s="41"/>
      <c r="I34" s="41"/>
      <c r="J34" s="44">
        <f t="shared" si="1"/>
        <v>0</v>
      </c>
      <c r="K34" s="45">
        <f t="shared" si="2"/>
        <v>985</v>
      </c>
      <c r="L34" s="46">
        <f t="shared" si="3"/>
        <v>17</v>
      </c>
      <c r="M34" s="47" t="e">
        <f t="shared" si="4"/>
        <v>#VALUE!</v>
      </c>
      <c r="N34" s="48">
        <f t="shared" si="5"/>
        <v>0</v>
      </c>
      <c r="O34" s="49">
        <f t="shared" si="6"/>
        <v>0</v>
      </c>
      <c r="P34" s="49">
        <f t="shared" si="7"/>
        <v>0</v>
      </c>
      <c r="Q34" s="49">
        <f t="shared" si="8"/>
        <v>0</v>
      </c>
      <c r="R34" s="50">
        <f t="shared" si="9"/>
        <v>0</v>
      </c>
      <c r="S34" s="49">
        <f t="shared" si="10"/>
        <v>0</v>
      </c>
      <c r="T34" s="51">
        <f t="shared" si="11"/>
        <v>0</v>
      </c>
      <c r="U34" s="52">
        <f t="shared" si="12"/>
        <v>0</v>
      </c>
      <c r="V34" s="53">
        <f t="shared" si="13"/>
        <v>0</v>
      </c>
      <c r="W34" s="47">
        <f t="shared" si="14"/>
        <v>0</v>
      </c>
      <c r="X34" s="54"/>
      <c r="Y34" s="17"/>
      <c r="Z34" s="55">
        <f t="shared" si="15"/>
        <v>1</v>
      </c>
      <c r="AA34" s="55">
        <f t="shared" si="16"/>
        <v>0</v>
      </c>
      <c r="AB34" s="58"/>
      <c r="AC34" s="19"/>
    </row>
    <row r="35" spans="1:29" ht="15.75" customHeight="1" x14ac:dyDescent="0.3">
      <c r="A35" s="12">
        <v>29</v>
      </c>
      <c r="B35" s="41"/>
      <c r="C35" s="41"/>
      <c r="D35" s="41"/>
      <c r="E35" s="41"/>
      <c r="F35" s="42"/>
      <c r="G35" s="43" t="str">
        <f t="shared" si="0"/>
        <v/>
      </c>
      <c r="H35" s="41"/>
      <c r="I35" s="41"/>
      <c r="J35" s="44">
        <f t="shared" si="1"/>
        <v>0</v>
      </c>
      <c r="K35" s="45">
        <f t="shared" si="2"/>
        <v>985</v>
      </c>
      <c r="L35" s="46">
        <f t="shared" si="3"/>
        <v>17</v>
      </c>
      <c r="M35" s="47" t="e">
        <f t="shared" si="4"/>
        <v>#VALUE!</v>
      </c>
      <c r="N35" s="48">
        <f t="shared" si="5"/>
        <v>0</v>
      </c>
      <c r="O35" s="49">
        <f t="shared" si="6"/>
        <v>0</v>
      </c>
      <c r="P35" s="49">
        <f t="shared" si="7"/>
        <v>0</v>
      </c>
      <c r="Q35" s="49">
        <f t="shared" si="8"/>
        <v>0</v>
      </c>
      <c r="R35" s="50">
        <f t="shared" si="9"/>
        <v>0</v>
      </c>
      <c r="S35" s="49">
        <f t="shared" si="10"/>
        <v>0</v>
      </c>
      <c r="T35" s="51">
        <f t="shared" si="11"/>
        <v>0</v>
      </c>
      <c r="U35" s="52">
        <f t="shared" si="12"/>
        <v>0</v>
      </c>
      <c r="V35" s="53">
        <f t="shared" si="13"/>
        <v>0</v>
      </c>
      <c r="W35" s="47">
        <f t="shared" si="14"/>
        <v>0</v>
      </c>
      <c r="X35" s="54"/>
      <c r="Y35" s="17"/>
      <c r="Z35" s="55">
        <f t="shared" si="15"/>
        <v>1</v>
      </c>
      <c r="AA35" s="55">
        <f t="shared" si="16"/>
        <v>0</v>
      </c>
      <c r="AB35" s="58"/>
      <c r="AC35" s="19"/>
    </row>
    <row r="36" spans="1:29" ht="15.75" customHeight="1" x14ac:dyDescent="0.3">
      <c r="A36" s="12">
        <v>30</v>
      </c>
      <c r="B36" s="41"/>
      <c r="C36" s="41"/>
      <c r="D36" s="41"/>
      <c r="E36" s="41"/>
      <c r="F36" s="42"/>
      <c r="G36" s="43" t="str">
        <f t="shared" si="0"/>
        <v/>
      </c>
      <c r="H36" s="41"/>
      <c r="I36" s="41"/>
      <c r="J36" s="44">
        <f t="shared" si="1"/>
        <v>0</v>
      </c>
      <c r="K36" s="45">
        <f t="shared" si="2"/>
        <v>985</v>
      </c>
      <c r="L36" s="46">
        <f t="shared" si="3"/>
        <v>17</v>
      </c>
      <c r="M36" s="47" t="e">
        <f t="shared" si="4"/>
        <v>#VALUE!</v>
      </c>
      <c r="N36" s="48">
        <f t="shared" si="5"/>
        <v>0</v>
      </c>
      <c r="O36" s="49">
        <f t="shared" si="6"/>
        <v>0</v>
      </c>
      <c r="P36" s="49">
        <f t="shared" si="7"/>
        <v>0</v>
      </c>
      <c r="Q36" s="49">
        <f t="shared" si="8"/>
        <v>0</v>
      </c>
      <c r="R36" s="50">
        <f t="shared" si="9"/>
        <v>0</v>
      </c>
      <c r="S36" s="49">
        <f t="shared" si="10"/>
        <v>0</v>
      </c>
      <c r="T36" s="51">
        <f t="shared" si="11"/>
        <v>0</v>
      </c>
      <c r="U36" s="52">
        <f t="shared" si="12"/>
        <v>0</v>
      </c>
      <c r="V36" s="53">
        <f t="shared" si="13"/>
        <v>0</v>
      </c>
      <c r="W36" s="47">
        <f t="shared" si="14"/>
        <v>0</v>
      </c>
      <c r="X36" s="54"/>
      <c r="Y36" s="17"/>
      <c r="Z36" s="55">
        <f t="shared" si="15"/>
        <v>1</v>
      </c>
      <c r="AA36" s="55">
        <f t="shared" si="16"/>
        <v>0</v>
      </c>
      <c r="AB36" s="58"/>
      <c r="AC36" s="19"/>
    </row>
    <row r="37" spans="1:29" ht="15.75" customHeight="1" x14ac:dyDescent="0.3">
      <c r="A37" s="12">
        <v>31</v>
      </c>
      <c r="B37" s="41"/>
      <c r="C37" s="41"/>
      <c r="D37" s="41"/>
      <c r="E37" s="41"/>
      <c r="F37" s="42"/>
      <c r="G37" s="43" t="str">
        <f t="shared" si="0"/>
        <v/>
      </c>
      <c r="H37" s="41"/>
      <c r="I37" s="41"/>
      <c r="J37" s="44">
        <f t="shared" si="1"/>
        <v>0</v>
      </c>
      <c r="K37" s="45">
        <f t="shared" si="2"/>
        <v>985</v>
      </c>
      <c r="L37" s="46">
        <f t="shared" si="3"/>
        <v>17</v>
      </c>
      <c r="M37" s="47" t="e">
        <f t="shared" si="4"/>
        <v>#VALUE!</v>
      </c>
      <c r="N37" s="48">
        <f t="shared" si="5"/>
        <v>0</v>
      </c>
      <c r="O37" s="49">
        <f t="shared" si="6"/>
        <v>0</v>
      </c>
      <c r="P37" s="49">
        <f t="shared" si="7"/>
        <v>0</v>
      </c>
      <c r="Q37" s="49">
        <f t="shared" si="8"/>
        <v>0</v>
      </c>
      <c r="R37" s="50">
        <f t="shared" si="9"/>
        <v>0</v>
      </c>
      <c r="S37" s="49">
        <f t="shared" si="10"/>
        <v>0</v>
      </c>
      <c r="T37" s="51">
        <f t="shared" si="11"/>
        <v>0</v>
      </c>
      <c r="U37" s="52">
        <f t="shared" si="12"/>
        <v>0</v>
      </c>
      <c r="V37" s="53">
        <f t="shared" si="13"/>
        <v>0</v>
      </c>
      <c r="W37" s="47">
        <f t="shared" si="14"/>
        <v>0</v>
      </c>
      <c r="X37" s="54"/>
      <c r="Y37" s="17"/>
      <c r="Z37" s="55">
        <f t="shared" si="15"/>
        <v>1</v>
      </c>
      <c r="AA37" s="55">
        <f t="shared" si="16"/>
        <v>0</v>
      </c>
      <c r="AB37" s="58"/>
      <c r="AC37" s="19"/>
    </row>
    <row r="38" spans="1:29" ht="15.75" customHeight="1" x14ac:dyDescent="0.35">
      <c r="A38" s="17"/>
      <c r="B38" s="60" t="s">
        <v>51</v>
      </c>
      <c r="C38" s="61"/>
      <c r="D38" s="61"/>
      <c r="E38" s="61"/>
      <c r="F38" s="61"/>
      <c r="G38" s="61"/>
      <c r="H38" s="61"/>
      <c r="I38" s="17"/>
      <c r="J38" s="17"/>
      <c r="K38" s="17"/>
      <c r="L38" s="17"/>
      <c r="M38" s="17"/>
      <c r="N38" s="17"/>
      <c r="O38" s="17"/>
      <c r="P38" s="17"/>
      <c r="Q38" s="17"/>
      <c r="R38" s="61"/>
      <c r="S38" s="17"/>
      <c r="T38" s="62">
        <f>SUM(T7:T37)</f>
        <v>-703.7065972222224</v>
      </c>
      <c r="U38" s="17"/>
      <c r="V38" s="17"/>
      <c r="W38" s="17"/>
      <c r="X38" s="63">
        <f>SUM(X7:X37)</f>
        <v>0</v>
      </c>
      <c r="Y38" s="98">
        <f>($N$3+T38)-X38</f>
        <v>9296.2934027777774</v>
      </c>
      <c r="Z38" s="95"/>
      <c r="AA38" s="96"/>
      <c r="AB38" s="19"/>
      <c r="AC38" s="19"/>
    </row>
    <row r="39" spans="1:29" ht="15.75" customHeight="1" x14ac:dyDescent="0.3">
      <c r="AC39" s="19"/>
    </row>
    <row r="40" spans="1:29" ht="15.75" customHeight="1" x14ac:dyDescent="0.3">
      <c r="A40" s="64" t="s">
        <v>76</v>
      </c>
    </row>
    <row r="41" spans="1:29" ht="21" customHeight="1" x14ac:dyDescent="0.3">
      <c r="B41" s="65" t="s">
        <v>53</v>
      </c>
      <c r="C41" s="66"/>
      <c r="D41" s="66"/>
    </row>
    <row r="42" spans="1:29" ht="15.75" customHeight="1" x14ac:dyDescent="0.3">
      <c r="B42" s="67" t="s">
        <v>54</v>
      </c>
      <c r="C42" s="40"/>
      <c r="D42" s="40"/>
    </row>
    <row r="43" spans="1:29" ht="15.75" customHeight="1" x14ac:dyDescent="0.3">
      <c r="B43" s="68" t="s">
        <v>55</v>
      </c>
      <c r="C43" s="69"/>
      <c r="D43" s="69"/>
    </row>
    <row r="44" spans="1:29" ht="15.75" customHeight="1" x14ac:dyDescent="0.3">
      <c r="B44" s="70" t="s">
        <v>21</v>
      </c>
      <c r="C44" s="40"/>
      <c r="D44" s="40"/>
    </row>
    <row r="45" spans="1:29" ht="15.75" customHeight="1" x14ac:dyDescent="0.3">
      <c r="B45" s="71">
        <v>0.31597222222222221</v>
      </c>
      <c r="C45" s="12" t="s">
        <v>56</v>
      </c>
      <c r="D45" s="72" t="s">
        <v>57</v>
      </c>
      <c r="E45" s="72"/>
      <c r="F45" s="72"/>
      <c r="G45" s="72"/>
      <c r="H45" s="72"/>
      <c r="I45" s="72"/>
      <c r="J45" s="72"/>
    </row>
    <row r="46" spans="1:29" ht="15.75" customHeight="1" x14ac:dyDescent="0.3">
      <c r="B46" s="71">
        <v>0.31666666666666665</v>
      </c>
      <c r="C46" s="12" t="s">
        <v>58</v>
      </c>
      <c r="D46" s="72" t="s">
        <v>59</v>
      </c>
      <c r="E46" s="72"/>
      <c r="F46" s="72"/>
      <c r="G46" s="72"/>
      <c r="H46" s="72"/>
      <c r="I46" s="72"/>
      <c r="J46" s="72"/>
    </row>
    <row r="47" spans="1:29" ht="15.75" customHeight="1" x14ac:dyDescent="0.3">
      <c r="B47" s="71">
        <v>0.31944444444444448</v>
      </c>
      <c r="C47" s="12" t="s">
        <v>60</v>
      </c>
      <c r="D47" s="72" t="s">
        <v>61</v>
      </c>
      <c r="E47" s="72"/>
      <c r="F47" s="72"/>
      <c r="G47" s="72"/>
      <c r="H47" s="72"/>
      <c r="I47" s="72"/>
      <c r="J47" s="72"/>
    </row>
    <row r="48" spans="1:29" ht="15.75" customHeight="1" x14ac:dyDescent="0.3">
      <c r="B48" s="71">
        <v>0.32291666666666669</v>
      </c>
      <c r="C48" s="12" t="s">
        <v>62</v>
      </c>
      <c r="D48" s="72" t="s">
        <v>63</v>
      </c>
      <c r="E48" s="72"/>
      <c r="F48" s="72"/>
      <c r="G48" s="72"/>
      <c r="H48" s="72"/>
      <c r="I48" s="72"/>
      <c r="J48" s="72"/>
    </row>
    <row r="49" spans="2:10" ht="15.75" customHeight="1" x14ac:dyDescent="0.3">
      <c r="B49" s="71">
        <v>0.32361111111111113</v>
      </c>
      <c r="C49" s="12" t="s">
        <v>64</v>
      </c>
      <c r="D49" s="72" t="s">
        <v>65</v>
      </c>
      <c r="E49" s="72"/>
      <c r="F49" s="72"/>
      <c r="G49" s="72"/>
      <c r="H49" s="72"/>
      <c r="I49" s="72"/>
      <c r="J49" s="72"/>
    </row>
    <row r="50" spans="2:10" ht="15.75" customHeight="1" x14ac:dyDescent="0.3">
      <c r="B50" s="71">
        <v>0.70833333333333337</v>
      </c>
      <c r="C50" s="12" t="s">
        <v>66</v>
      </c>
      <c r="D50" s="72" t="s">
        <v>67</v>
      </c>
      <c r="E50" s="72"/>
      <c r="F50" s="72"/>
      <c r="G50" s="72"/>
      <c r="H50" s="72"/>
      <c r="I50" s="72"/>
      <c r="J50" s="72"/>
    </row>
    <row r="51" spans="2:10" ht="15.75" customHeight="1" x14ac:dyDescent="0.3">
      <c r="B51" s="71">
        <v>0.72916666666666663</v>
      </c>
      <c r="C51" s="12" t="s">
        <v>68</v>
      </c>
      <c r="D51" s="72" t="s">
        <v>69</v>
      </c>
      <c r="E51" s="72"/>
      <c r="F51" s="72"/>
      <c r="G51" s="72"/>
      <c r="H51" s="72"/>
      <c r="I51" s="72"/>
      <c r="J51" s="72"/>
    </row>
    <row r="52" spans="2:10" ht="15.75" customHeight="1" x14ac:dyDescent="0.3">
      <c r="B52" s="71">
        <v>0.72986111111111107</v>
      </c>
      <c r="C52" s="12" t="s">
        <v>70</v>
      </c>
      <c r="D52" s="72" t="s">
        <v>71</v>
      </c>
      <c r="E52" s="72"/>
      <c r="F52" s="72"/>
      <c r="G52" s="72"/>
      <c r="H52" s="72"/>
      <c r="I52" s="72"/>
      <c r="J52" s="72"/>
    </row>
    <row r="53" spans="2:10" ht="15.75" customHeight="1" x14ac:dyDescent="0.3">
      <c r="B53" s="7" t="s">
        <v>72</v>
      </c>
      <c r="C53" s="73" t="s">
        <v>73</v>
      </c>
    </row>
    <row r="54" spans="2:10" ht="15.75" customHeight="1" x14ac:dyDescent="0.3">
      <c r="C54" s="73" t="s">
        <v>74</v>
      </c>
    </row>
    <row r="55" spans="2:10" ht="15.75" customHeight="1" x14ac:dyDescent="0.3">
      <c r="C55" s="73" t="s">
        <v>75</v>
      </c>
    </row>
    <row r="56" spans="2:10" ht="15.75" customHeight="1" x14ac:dyDescent="0.3">
      <c r="C56" s="12"/>
    </row>
    <row r="57" spans="2:10" ht="15.75" customHeight="1" x14ac:dyDescent="0.3">
      <c r="C57" s="12"/>
    </row>
    <row r="58" spans="2:10" ht="15.75" customHeight="1" x14ac:dyDescent="0.3">
      <c r="C58" s="12"/>
    </row>
    <row r="59" spans="2:10" ht="15.75" customHeight="1" x14ac:dyDescent="0.3">
      <c r="C59" s="12"/>
    </row>
    <row r="60" spans="2:10" ht="15.75" customHeight="1" x14ac:dyDescent="0.3">
      <c r="C60" s="12"/>
    </row>
    <row r="61" spans="2:10" ht="15.75" customHeight="1" x14ac:dyDescent="0.3">
      <c r="C61" s="12"/>
    </row>
    <row r="62" spans="2:10" ht="15.75" customHeight="1" x14ac:dyDescent="0.3">
      <c r="C62" s="12"/>
    </row>
    <row r="63" spans="2:10" ht="15.75" customHeight="1" x14ac:dyDescent="0.3">
      <c r="C63" s="12"/>
    </row>
    <row r="64" spans="2:10" ht="15.75" customHeight="1" x14ac:dyDescent="0.3">
      <c r="C64" s="12"/>
    </row>
    <row r="65" spans="3:3" ht="15.75" customHeight="1" x14ac:dyDescent="0.3">
      <c r="C65" s="12"/>
    </row>
    <row r="66" spans="3:3" ht="15.75" customHeight="1" x14ac:dyDescent="0.3">
      <c r="C66" s="12"/>
    </row>
    <row r="67" spans="3:3" ht="15.75" customHeight="1" x14ac:dyDescent="0.3">
      <c r="C67" s="12"/>
    </row>
    <row r="68" spans="3:3" ht="15.75" customHeight="1" x14ac:dyDescent="0.3">
      <c r="C68" s="12"/>
    </row>
    <row r="69" spans="3:3" ht="15.75" customHeight="1" x14ac:dyDescent="0.3">
      <c r="C69" s="12"/>
    </row>
    <row r="70" spans="3:3" ht="15.75" customHeight="1" x14ac:dyDescent="0.3">
      <c r="C70" s="12"/>
    </row>
    <row r="71" spans="3:3" ht="15.75" customHeight="1" x14ac:dyDescent="0.3">
      <c r="C71" s="12"/>
    </row>
    <row r="72" spans="3:3" ht="15.75" customHeight="1" x14ac:dyDescent="0.3">
      <c r="C72" s="12"/>
    </row>
    <row r="73" spans="3:3" ht="15.75" customHeight="1" x14ac:dyDescent="0.3">
      <c r="C73" s="12"/>
    </row>
    <row r="74" spans="3:3" ht="15.75" customHeight="1" x14ac:dyDescent="0.3">
      <c r="C74" s="12"/>
    </row>
    <row r="75" spans="3:3" ht="15.75" customHeight="1" x14ac:dyDescent="0.3">
      <c r="C75" s="12"/>
    </row>
    <row r="76" spans="3:3" ht="15.75" customHeight="1" x14ac:dyDescent="0.3">
      <c r="C76" s="12"/>
    </row>
    <row r="77" spans="3:3" ht="15.75" customHeight="1" x14ac:dyDescent="0.3">
      <c r="C77" s="12"/>
    </row>
    <row r="78" spans="3:3" ht="15.75" customHeight="1" x14ac:dyDescent="0.3">
      <c r="C78" s="12"/>
    </row>
    <row r="79" spans="3:3" ht="21" customHeight="1" x14ac:dyDescent="0.3">
      <c r="C79" s="12"/>
    </row>
    <row r="80" spans="3:3" ht="15.75" customHeight="1" x14ac:dyDescent="0.3">
      <c r="C80" s="12"/>
    </row>
    <row r="81" spans="3:3" ht="15.75" customHeight="1" x14ac:dyDescent="0.3">
      <c r="C81" s="12"/>
    </row>
    <row r="82" spans="3:3" ht="15.75" customHeight="1" x14ac:dyDescent="0.3">
      <c r="C82" s="12"/>
    </row>
    <row r="83" spans="3:3" ht="15.75" customHeight="1" x14ac:dyDescent="0.3">
      <c r="C83" s="12"/>
    </row>
    <row r="84" spans="3:3" ht="15.75" customHeight="1" x14ac:dyDescent="0.3">
      <c r="C84" s="12"/>
    </row>
    <row r="85" spans="3:3" ht="15.75" customHeight="1" x14ac:dyDescent="0.3">
      <c r="C85" s="12"/>
    </row>
    <row r="86" spans="3:3" ht="15.75" customHeight="1" x14ac:dyDescent="0.3">
      <c r="C86" s="12"/>
    </row>
    <row r="87" spans="3:3" ht="15.75" customHeight="1" x14ac:dyDescent="0.3">
      <c r="C87" s="12"/>
    </row>
    <row r="88" spans="3:3" ht="15.75" customHeight="1" x14ac:dyDescent="0.3">
      <c r="C88" s="12"/>
    </row>
    <row r="89" spans="3:3" ht="15.75" customHeight="1" x14ac:dyDescent="0.3">
      <c r="C89" s="12"/>
    </row>
    <row r="90" spans="3:3" ht="15.75" customHeight="1" x14ac:dyDescent="0.3">
      <c r="C90" s="12"/>
    </row>
    <row r="91" spans="3:3" ht="15.75" customHeight="1" x14ac:dyDescent="0.3">
      <c r="C91" s="12"/>
    </row>
    <row r="92" spans="3:3" ht="15.75" customHeight="1" x14ac:dyDescent="0.3">
      <c r="C92" s="12"/>
    </row>
    <row r="93" spans="3:3" ht="15.75" customHeight="1" x14ac:dyDescent="0.3">
      <c r="C93" s="12"/>
    </row>
    <row r="94" spans="3:3" ht="15.75" customHeight="1" x14ac:dyDescent="0.3">
      <c r="C94" s="12"/>
    </row>
    <row r="95" spans="3:3" ht="15.75" customHeight="1" x14ac:dyDescent="0.3">
      <c r="C95" s="12"/>
    </row>
    <row r="96" spans="3:3" ht="15.75" customHeight="1" x14ac:dyDescent="0.3">
      <c r="C96" s="12"/>
    </row>
    <row r="97" spans="3:3" ht="15.75" customHeight="1" x14ac:dyDescent="0.3">
      <c r="C97" s="12"/>
    </row>
    <row r="98" spans="3:3" ht="15.75" customHeight="1" x14ac:dyDescent="0.3">
      <c r="C98" s="12"/>
    </row>
    <row r="99" spans="3:3" ht="15.75" customHeight="1" x14ac:dyDescent="0.3">
      <c r="C99" s="12"/>
    </row>
    <row r="100" spans="3:3" ht="15.75" customHeight="1" x14ac:dyDescent="0.3">
      <c r="C100" s="12"/>
    </row>
    <row r="101" spans="3:3" ht="15.75" customHeight="1" x14ac:dyDescent="0.3">
      <c r="C101" s="12"/>
    </row>
    <row r="102" spans="3:3" ht="15.75" customHeight="1" x14ac:dyDescent="0.3">
      <c r="C102" s="12"/>
    </row>
    <row r="103" spans="3:3" ht="15.75" customHeight="1" x14ac:dyDescent="0.3">
      <c r="C103" s="12"/>
    </row>
    <row r="104" spans="3:3" ht="15.75" customHeight="1" x14ac:dyDescent="0.3">
      <c r="C104" s="12"/>
    </row>
    <row r="105" spans="3:3" ht="15.75" customHeight="1" x14ac:dyDescent="0.3">
      <c r="C105" s="12"/>
    </row>
    <row r="106" spans="3:3" ht="15.75" customHeight="1" x14ac:dyDescent="0.3">
      <c r="C106" s="12"/>
    </row>
    <row r="107" spans="3:3" ht="15.75" customHeight="1" x14ac:dyDescent="0.3">
      <c r="C107" s="12"/>
    </row>
    <row r="108" spans="3:3" ht="15.75" customHeight="1" x14ac:dyDescent="0.3">
      <c r="C108" s="12"/>
    </row>
    <row r="109" spans="3:3" ht="15.75" customHeight="1" x14ac:dyDescent="0.3">
      <c r="C109" s="12"/>
    </row>
    <row r="110" spans="3:3" ht="15.75" customHeight="1" x14ac:dyDescent="0.3">
      <c r="C110" s="12"/>
    </row>
    <row r="111" spans="3:3" ht="15.75" customHeight="1" x14ac:dyDescent="0.3">
      <c r="C111" s="12"/>
    </row>
    <row r="112" spans="3:3" ht="15.75" customHeight="1" x14ac:dyDescent="0.3">
      <c r="C112" s="12"/>
    </row>
    <row r="113" spans="3:3" ht="15.75" customHeight="1" x14ac:dyDescent="0.3">
      <c r="C113" s="12"/>
    </row>
    <row r="114" spans="3:3" ht="15.75" customHeight="1" x14ac:dyDescent="0.3">
      <c r="C114" s="12"/>
    </row>
    <row r="115" spans="3:3" ht="15.75" customHeight="1" x14ac:dyDescent="0.3">
      <c r="C115" s="12"/>
    </row>
    <row r="116" spans="3:3" ht="15.75" customHeight="1" x14ac:dyDescent="0.3">
      <c r="C116" s="12"/>
    </row>
    <row r="117" spans="3:3" ht="21" customHeight="1" x14ac:dyDescent="0.3">
      <c r="C117" s="12"/>
    </row>
    <row r="118" spans="3:3" ht="15.75" customHeight="1" x14ac:dyDescent="0.3">
      <c r="C118" s="12"/>
    </row>
    <row r="119" spans="3:3" ht="15.75" customHeight="1" x14ac:dyDescent="0.3">
      <c r="C119" s="12"/>
    </row>
    <row r="120" spans="3:3" ht="15.75" customHeight="1" x14ac:dyDescent="0.3">
      <c r="C120" s="12"/>
    </row>
    <row r="121" spans="3:3" ht="15.75" customHeight="1" x14ac:dyDescent="0.3">
      <c r="C121" s="12"/>
    </row>
    <row r="122" spans="3:3" ht="15.75" customHeight="1" x14ac:dyDescent="0.3">
      <c r="C122" s="12"/>
    </row>
    <row r="123" spans="3:3" ht="15.75" customHeight="1" x14ac:dyDescent="0.3">
      <c r="C123" s="12"/>
    </row>
    <row r="124" spans="3:3" ht="15.75" customHeight="1" x14ac:dyDescent="0.3">
      <c r="C124" s="12"/>
    </row>
    <row r="125" spans="3:3" ht="15.75" customHeight="1" x14ac:dyDescent="0.3">
      <c r="C125" s="12"/>
    </row>
    <row r="126" spans="3:3" ht="15.75" customHeight="1" x14ac:dyDescent="0.3">
      <c r="C126" s="12"/>
    </row>
    <row r="127" spans="3:3" ht="15.75" customHeight="1" x14ac:dyDescent="0.3">
      <c r="C127" s="12"/>
    </row>
    <row r="128" spans="3:3" ht="15.75" customHeight="1" x14ac:dyDescent="0.3">
      <c r="C128" s="12"/>
    </row>
    <row r="129" spans="3:3" ht="15.75" customHeight="1" x14ac:dyDescent="0.3">
      <c r="C129" s="12"/>
    </row>
    <row r="130" spans="3:3" ht="15.75" customHeight="1" x14ac:dyDescent="0.3">
      <c r="C130" s="12"/>
    </row>
    <row r="131" spans="3:3" ht="15.75" customHeight="1" x14ac:dyDescent="0.3">
      <c r="C131" s="12"/>
    </row>
    <row r="132" spans="3:3" ht="15.75" customHeight="1" x14ac:dyDescent="0.3">
      <c r="C132" s="12"/>
    </row>
    <row r="133" spans="3:3" ht="15.75" customHeight="1" x14ac:dyDescent="0.3">
      <c r="C133" s="12"/>
    </row>
    <row r="134" spans="3:3" ht="15.75" customHeight="1" x14ac:dyDescent="0.3">
      <c r="C134" s="12"/>
    </row>
    <row r="135" spans="3:3" ht="15.75" customHeight="1" x14ac:dyDescent="0.3">
      <c r="C135" s="12"/>
    </row>
    <row r="136" spans="3:3" ht="15.75" customHeight="1" x14ac:dyDescent="0.3">
      <c r="C136" s="12"/>
    </row>
    <row r="137" spans="3:3" ht="15.75" customHeight="1" x14ac:dyDescent="0.3">
      <c r="C137" s="12"/>
    </row>
    <row r="138" spans="3:3" ht="15.75" customHeight="1" x14ac:dyDescent="0.3">
      <c r="C138" s="12"/>
    </row>
    <row r="139" spans="3:3" ht="15.75" customHeight="1" x14ac:dyDescent="0.3">
      <c r="C139" s="12"/>
    </row>
    <row r="140" spans="3:3" ht="15.75" customHeight="1" x14ac:dyDescent="0.3">
      <c r="C140" s="12"/>
    </row>
    <row r="141" spans="3:3" ht="15.75" customHeight="1" x14ac:dyDescent="0.3">
      <c r="C141" s="12"/>
    </row>
    <row r="142" spans="3:3" ht="15.75" customHeight="1" x14ac:dyDescent="0.3">
      <c r="C142" s="12"/>
    </row>
    <row r="143" spans="3:3" ht="15.75" customHeight="1" x14ac:dyDescent="0.3">
      <c r="C143" s="12"/>
    </row>
    <row r="144" spans="3:3" ht="15.75" customHeight="1" x14ac:dyDescent="0.3">
      <c r="C144" s="12"/>
    </row>
    <row r="145" spans="3:3" ht="15.75" customHeight="1" x14ac:dyDescent="0.3">
      <c r="C145" s="12"/>
    </row>
    <row r="146" spans="3:3" ht="15.75" customHeight="1" x14ac:dyDescent="0.3">
      <c r="C146" s="12"/>
    </row>
    <row r="147" spans="3:3" ht="15.75" customHeight="1" x14ac:dyDescent="0.3">
      <c r="C147" s="12"/>
    </row>
    <row r="148" spans="3:3" ht="15.75" customHeight="1" x14ac:dyDescent="0.3">
      <c r="C148" s="12"/>
    </row>
    <row r="149" spans="3:3" ht="15.75" customHeight="1" x14ac:dyDescent="0.3">
      <c r="C149" s="12"/>
    </row>
    <row r="150" spans="3:3" ht="15.75" customHeight="1" x14ac:dyDescent="0.3">
      <c r="C150" s="12"/>
    </row>
    <row r="151" spans="3:3" ht="15.75" customHeight="1" x14ac:dyDescent="0.3">
      <c r="C151" s="12"/>
    </row>
    <row r="152" spans="3:3" ht="15.75" customHeight="1" x14ac:dyDescent="0.3">
      <c r="C152" s="12"/>
    </row>
    <row r="153" spans="3:3" ht="15.75" customHeight="1" x14ac:dyDescent="0.3">
      <c r="C153" s="12"/>
    </row>
    <row r="154" spans="3:3" ht="15.75" customHeight="1" x14ac:dyDescent="0.3">
      <c r="C154" s="12"/>
    </row>
    <row r="155" spans="3:3" ht="21" customHeight="1" x14ac:dyDescent="0.3">
      <c r="C155" s="12"/>
    </row>
    <row r="156" spans="3:3" ht="15.75" customHeight="1" x14ac:dyDescent="0.3">
      <c r="C156" s="12"/>
    </row>
    <row r="157" spans="3:3" ht="15.75" customHeight="1" x14ac:dyDescent="0.3">
      <c r="C157" s="12"/>
    </row>
    <row r="158" spans="3:3" ht="15.75" customHeight="1" x14ac:dyDescent="0.3">
      <c r="C158" s="12"/>
    </row>
    <row r="159" spans="3:3" ht="15.75" customHeight="1" x14ac:dyDescent="0.3">
      <c r="C159" s="12"/>
    </row>
    <row r="160" spans="3:3" ht="15.75" customHeight="1" x14ac:dyDescent="0.3">
      <c r="C160" s="12"/>
    </row>
    <row r="161" spans="3:3" ht="15.75" customHeight="1" x14ac:dyDescent="0.3">
      <c r="C161" s="12"/>
    </row>
    <row r="162" spans="3:3" ht="15.75" customHeight="1" x14ac:dyDescent="0.3">
      <c r="C162" s="12"/>
    </row>
    <row r="163" spans="3:3" ht="15.75" customHeight="1" x14ac:dyDescent="0.3">
      <c r="C163" s="12"/>
    </row>
    <row r="164" spans="3:3" ht="15.75" customHeight="1" x14ac:dyDescent="0.3">
      <c r="C164" s="12"/>
    </row>
    <row r="165" spans="3:3" ht="15.75" customHeight="1" x14ac:dyDescent="0.3">
      <c r="C165" s="12"/>
    </row>
    <row r="166" spans="3:3" ht="15.75" customHeight="1" x14ac:dyDescent="0.3">
      <c r="C166" s="12"/>
    </row>
    <row r="167" spans="3:3" ht="15.75" customHeight="1" x14ac:dyDescent="0.3">
      <c r="C167" s="12"/>
    </row>
    <row r="168" spans="3:3" ht="15.75" customHeight="1" x14ac:dyDescent="0.3">
      <c r="C168" s="12"/>
    </row>
    <row r="169" spans="3:3" ht="15.75" customHeight="1" x14ac:dyDescent="0.3">
      <c r="C169" s="12"/>
    </row>
    <row r="170" spans="3:3" ht="15.75" customHeight="1" x14ac:dyDescent="0.3">
      <c r="C170" s="12"/>
    </row>
    <row r="171" spans="3:3" ht="15.75" customHeight="1" x14ac:dyDescent="0.3">
      <c r="C171" s="12"/>
    </row>
    <row r="172" spans="3:3" ht="15.75" customHeight="1" x14ac:dyDescent="0.3">
      <c r="C172" s="12"/>
    </row>
    <row r="173" spans="3:3" ht="15.75" customHeight="1" x14ac:dyDescent="0.3">
      <c r="C173" s="12"/>
    </row>
    <row r="174" spans="3:3" ht="15.75" customHeight="1" x14ac:dyDescent="0.3">
      <c r="C174" s="12"/>
    </row>
    <row r="175" spans="3:3" ht="15.75" customHeight="1" x14ac:dyDescent="0.3">
      <c r="C175" s="12"/>
    </row>
    <row r="176" spans="3:3" ht="15.75" customHeight="1" x14ac:dyDescent="0.3">
      <c r="C176" s="12"/>
    </row>
    <row r="177" spans="3:3" ht="15.75" customHeight="1" x14ac:dyDescent="0.3">
      <c r="C177" s="12"/>
    </row>
    <row r="178" spans="3:3" ht="15.75" customHeight="1" x14ac:dyDescent="0.3">
      <c r="C178" s="12"/>
    </row>
    <row r="179" spans="3:3" ht="15.75" customHeight="1" x14ac:dyDescent="0.3">
      <c r="C179" s="12"/>
    </row>
    <row r="180" spans="3:3" ht="15.75" customHeight="1" x14ac:dyDescent="0.3">
      <c r="C180" s="12"/>
    </row>
    <row r="181" spans="3:3" ht="15.75" customHeight="1" x14ac:dyDescent="0.3">
      <c r="C181" s="12"/>
    </row>
    <row r="182" spans="3:3" ht="15.75" customHeight="1" x14ac:dyDescent="0.3">
      <c r="C182" s="12"/>
    </row>
    <row r="183" spans="3:3" ht="15.75" customHeight="1" x14ac:dyDescent="0.3">
      <c r="C183" s="12"/>
    </row>
    <row r="184" spans="3:3" ht="15.75" customHeight="1" x14ac:dyDescent="0.3">
      <c r="C184" s="12"/>
    </row>
    <row r="185" spans="3:3" ht="15.75" customHeight="1" x14ac:dyDescent="0.3">
      <c r="C185" s="12"/>
    </row>
    <row r="186" spans="3:3" ht="15.75" customHeight="1" x14ac:dyDescent="0.3">
      <c r="C186" s="12"/>
    </row>
    <row r="187" spans="3:3" ht="15.75" customHeight="1" x14ac:dyDescent="0.3">
      <c r="C187" s="12"/>
    </row>
    <row r="188" spans="3:3" ht="15.75" customHeight="1" x14ac:dyDescent="0.3">
      <c r="C188" s="12"/>
    </row>
    <row r="189" spans="3:3" ht="15.75" customHeight="1" x14ac:dyDescent="0.3">
      <c r="C189" s="12"/>
    </row>
    <row r="190" spans="3:3" ht="15.75" customHeight="1" x14ac:dyDescent="0.3">
      <c r="C190" s="12"/>
    </row>
    <row r="191" spans="3:3" ht="15.75" customHeight="1" x14ac:dyDescent="0.3">
      <c r="C191" s="12"/>
    </row>
    <row r="192" spans="3:3" ht="15.75" customHeight="1" x14ac:dyDescent="0.3">
      <c r="C192" s="12"/>
    </row>
    <row r="193" spans="3:3" ht="21" customHeight="1" x14ac:dyDescent="0.3">
      <c r="C193" s="12"/>
    </row>
    <row r="194" spans="3:3" ht="15.75" customHeight="1" x14ac:dyDescent="0.3">
      <c r="C194" s="12"/>
    </row>
    <row r="195" spans="3:3" ht="15.75" customHeight="1" x14ac:dyDescent="0.3">
      <c r="C195" s="12"/>
    </row>
    <row r="196" spans="3:3" ht="15.75" customHeight="1" x14ac:dyDescent="0.3">
      <c r="C196" s="12"/>
    </row>
    <row r="197" spans="3:3" ht="15.75" customHeight="1" x14ac:dyDescent="0.3">
      <c r="C197" s="12"/>
    </row>
    <row r="198" spans="3:3" ht="15.75" customHeight="1" x14ac:dyDescent="0.3">
      <c r="C198" s="12"/>
    </row>
    <row r="199" spans="3:3" ht="15.75" customHeight="1" x14ac:dyDescent="0.3">
      <c r="C199" s="12"/>
    </row>
    <row r="200" spans="3:3" ht="15.75" customHeight="1" x14ac:dyDescent="0.3">
      <c r="C200" s="12"/>
    </row>
    <row r="201" spans="3:3" ht="15.75" customHeight="1" x14ac:dyDescent="0.3">
      <c r="C201" s="12"/>
    </row>
    <row r="202" spans="3:3" ht="15.75" customHeight="1" x14ac:dyDescent="0.3">
      <c r="C202" s="12"/>
    </row>
    <row r="203" spans="3:3" ht="15.75" customHeight="1" x14ac:dyDescent="0.3">
      <c r="C203" s="12"/>
    </row>
    <row r="204" spans="3:3" ht="15.75" customHeight="1" x14ac:dyDescent="0.3">
      <c r="C204" s="12"/>
    </row>
    <row r="205" spans="3:3" ht="15.75" customHeight="1" x14ac:dyDescent="0.3">
      <c r="C205" s="12"/>
    </row>
    <row r="206" spans="3:3" ht="15.75" customHeight="1" x14ac:dyDescent="0.3">
      <c r="C206" s="12"/>
    </row>
    <row r="207" spans="3:3" ht="15.75" customHeight="1" x14ac:dyDescent="0.3">
      <c r="C207" s="12"/>
    </row>
    <row r="208" spans="3:3" ht="15.75" customHeight="1" x14ac:dyDescent="0.3">
      <c r="C208" s="12"/>
    </row>
    <row r="209" spans="3:3" ht="15.75" customHeight="1" x14ac:dyDescent="0.3">
      <c r="C209" s="12"/>
    </row>
    <row r="210" spans="3:3" ht="15.75" customHeight="1" x14ac:dyDescent="0.3">
      <c r="C210" s="12"/>
    </row>
    <row r="211" spans="3:3" ht="15.75" customHeight="1" x14ac:dyDescent="0.3">
      <c r="C211" s="12"/>
    </row>
    <row r="212" spans="3:3" ht="15.75" customHeight="1" x14ac:dyDescent="0.3">
      <c r="C212" s="12"/>
    </row>
    <row r="213" spans="3:3" ht="15.75" customHeight="1" x14ac:dyDescent="0.3">
      <c r="C213" s="12"/>
    </row>
    <row r="214" spans="3:3" ht="15.75" customHeight="1" x14ac:dyDescent="0.3">
      <c r="C214" s="12"/>
    </row>
    <row r="215" spans="3:3" ht="15.75" customHeight="1" x14ac:dyDescent="0.3">
      <c r="C215" s="12"/>
    </row>
    <row r="216" spans="3:3" ht="15.75" customHeight="1" x14ac:dyDescent="0.3">
      <c r="C216" s="12"/>
    </row>
    <row r="217" spans="3:3" ht="15.75" customHeight="1" x14ac:dyDescent="0.3">
      <c r="C217" s="12"/>
    </row>
    <row r="218" spans="3:3" ht="15.75" customHeight="1" x14ac:dyDescent="0.3">
      <c r="C218" s="12"/>
    </row>
    <row r="219" spans="3:3" ht="15.75" customHeight="1" x14ac:dyDescent="0.3">
      <c r="C219" s="12"/>
    </row>
    <row r="220" spans="3:3" ht="15.75" customHeight="1" x14ac:dyDescent="0.3">
      <c r="C220" s="12"/>
    </row>
    <row r="221" spans="3:3" ht="15.75" customHeight="1" x14ac:dyDescent="0.3">
      <c r="C221" s="12"/>
    </row>
    <row r="222" spans="3:3" ht="15.75" customHeight="1" x14ac:dyDescent="0.3">
      <c r="C222" s="12"/>
    </row>
    <row r="223" spans="3:3" ht="15.75" customHeight="1" x14ac:dyDescent="0.3">
      <c r="C223" s="12"/>
    </row>
    <row r="224" spans="3:3" ht="15.75" customHeight="1" x14ac:dyDescent="0.3">
      <c r="C224" s="12"/>
    </row>
    <row r="225" spans="3:3" ht="15.75" customHeight="1" x14ac:dyDescent="0.3">
      <c r="C225" s="12"/>
    </row>
    <row r="226" spans="3:3" ht="15.75" customHeight="1" x14ac:dyDescent="0.3">
      <c r="C226" s="12"/>
    </row>
    <row r="227" spans="3:3" ht="15.75" customHeight="1" x14ac:dyDescent="0.3">
      <c r="C227" s="12"/>
    </row>
    <row r="228" spans="3:3" ht="15.75" customHeight="1" x14ac:dyDescent="0.3">
      <c r="C228" s="12"/>
    </row>
    <row r="229" spans="3:3" ht="15.75" customHeight="1" x14ac:dyDescent="0.3">
      <c r="C229" s="12"/>
    </row>
    <row r="230" spans="3:3" ht="15.75" customHeight="1" x14ac:dyDescent="0.3">
      <c r="C230" s="12"/>
    </row>
    <row r="231" spans="3:3" ht="21" customHeight="1" x14ac:dyDescent="0.3">
      <c r="C231" s="12"/>
    </row>
    <row r="232" spans="3:3" ht="15.75" customHeight="1" x14ac:dyDescent="0.3">
      <c r="C232" s="12"/>
    </row>
    <row r="233" spans="3:3" ht="15.75" customHeight="1" x14ac:dyDescent="0.3">
      <c r="C233" s="12"/>
    </row>
    <row r="234" spans="3:3" ht="15.75" customHeight="1" x14ac:dyDescent="0.3">
      <c r="C234" s="12"/>
    </row>
    <row r="235" spans="3:3" ht="15.75" customHeight="1" x14ac:dyDescent="0.3">
      <c r="C235" s="12"/>
    </row>
    <row r="236" spans="3:3" ht="15.75" customHeight="1" x14ac:dyDescent="0.3">
      <c r="C236" s="12"/>
    </row>
    <row r="237" spans="3:3" ht="15.75" customHeight="1" x14ac:dyDescent="0.3">
      <c r="C237" s="12"/>
    </row>
    <row r="238" spans="3:3" ht="15.75" customHeight="1" x14ac:dyDescent="0.3">
      <c r="C238" s="12"/>
    </row>
    <row r="239" spans="3:3" ht="15.75" customHeight="1" x14ac:dyDescent="0.3">
      <c r="C239" s="12"/>
    </row>
    <row r="240" spans="3:3" ht="15.75" customHeight="1" x14ac:dyDescent="0.3">
      <c r="C240" s="12"/>
    </row>
    <row r="241" spans="3:3" ht="15.75" customHeight="1" x14ac:dyDescent="0.3">
      <c r="C241" s="12"/>
    </row>
    <row r="242" spans="3:3" ht="15.75" customHeight="1" x14ac:dyDescent="0.3">
      <c r="C242" s="12"/>
    </row>
    <row r="243" spans="3:3" ht="15.75" customHeight="1" x14ac:dyDescent="0.3">
      <c r="C243" s="12"/>
    </row>
    <row r="244" spans="3:3" ht="15.75" customHeight="1" x14ac:dyDescent="0.3">
      <c r="C244" s="12"/>
    </row>
    <row r="245" spans="3:3" ht="15.75" customHeight="1" x14ac:dyDescent="0.3">
      <c r="C245" s="12"/>
    </row>
    <row r="246" spans="3:3" ht="15.75" customHeight="1" x14ac:dyDescent="0.3">
      <c r="C246" s="12"/>
    </row>
    <row r="247" spans="3:3" ht="15.75" customHeight="1" x14ac:dyDescent="0.3">
      <c r="C247" s="12"/>
    </row>
    <row r="248" spans="3:3" ht="15.75" customHeight="1" x14ac:dyDescent="0.3">
      <c r="C248" s="12"/>
    </row>
    <row r="249" spans="3:3" ht="15.75" customHeight="1" x14ac:dyDescent="0.3">
      <c r="C249" s="12"/>
    </row>
    <row r="250" spans="3:3" ht="15.75" customHeight="1" x14ac:dyDescent="0.3">
      <c r="C250" s="12"/>
    </row>
    <row r="251" spans="3:3" ht="15.75" customHeight="1" x14ac:dyDescent="0.3">
      <c r="C251" s="12"/>
    </row>
    <row r="252" spans="3:3" ht="15.75" customHeight="1" x14ac:dyDescent="0.3">
      <c r="C252" s="12"/>
    </row>
    <row r="253" spans="3:3" ht="15.75" customHeight="1" x14ac:dyDescent="0.3">
      <c r="C253" s="12"/>
    </row>
    <row r="254" spans="3:3" ht="15.75" customHeight="1" x14ac:dyDescent="0.3">
      <c r="C254" s="12"/>
    </row>
    <row r="255" spans="3:3" ht="15.75" customHeight="1" x14ac:dyDescent="0.3">
      <c r="C255" s="12"/>
    </row>
    <row r="256" spans="3:3" ht="15.75" customHeight="1" x14ac:dyDescent="0.3">
      <c r="C256" s="12"/>
    </row>
    <row r="257" spans="3:3" ht="15.75" customHeight="1" x14ac:dyDescent="0.3">
      <c r="C257" s="12"/>
    </row>
    <row r="258" spans="3:3" ht="15.75" customHeight="1" x14ac:dyDescent="0.3">
      <c r="C258" s="12"/>
    </row>
    <row r="259" spans="3:3" ht="15.75" customHeight="1" x14ac:dyDescent="0.3">
      <c r="C259" s="12"/>
    </row>
    <row r="260" spans="3:3" ht="15.75" customHeight="1" x14ac:dyDescent="0.3">
      <c r="C260" s="12"/>
    </row>
    <row r="261" spans="3:3" ht="15.75" customHeight="1" x14ac:dyDescent="0.3">
      <c r="C261" s="12"/>
    </row>
    <row r="262" spans="3:3" ht="15.75" customHeight="1" x14ac:dyDescent="0.3">
      <c r="C262" s="12"/>
    </row>
    <row r="263" spans="3:3" ht="15.75" customHeight="1" x14ac:dyDescent="0.3">
      <c r="C263" s="12"/>
    </row>
    <row r="264" spans="3:3" ht="15.75" customHeight="1" x14ac:dyDescent="0.3">
      <c r="C264" s="12"/>
    </row>
    <row r="265" spans="3:3" ht="15.75" customHeight="1" x14ac:dyDescent="0.3">
      <c r="C265" s="12"/>
    </row>
    <row r="266" spans="3:3" ht="15.75" customHeight="1" x14ac:dyDescent="0.3">
      <c r="C266" s="12"/>
    </row>
    <row r="267" spans="3:3" ht="15.75" customHeight="1" x14ac:dyDescent="0.3">
      <c r="C267" s="12"/>
    </row>
    <row r="268" spans="3:3" ht="15.75" customHeight="1" x14ac:dyDescent="0.3">
      <c r="C268" s="12"/>
    </row>
    <row r="269" spans="3:3" ht="15.75" customHeight="1" x14ac:dyDescent="0.3">
      <c r="C269" s="12"/>
    </row>
    <row r="270" spans="3:3" ht="15.75" customHeight="1" x14ac:dyDescent="0.3">
      <c r="C270" s="12"/>
    </row>
    <row r="271" spans="3:3" ht="15.75" customHeight="1" x14ac:dyDescent="0.3">
      <c r="C271" s="12"/>
    </row>
    <row r="272" spans="3:3" ht="15.75" customHeight="1" x14ac:dyDescent="0.3">
      <c r="C272" s="12"/>
    </row>
    <row r="273" spans="3:3" ht="15.75" customHeight="1" x14ac:dyDescent="0.3">
      <c r="C273" s="12"/>
    </row>
    <row r="274" spans="3:3" ht="15.75" customHeight="1" x14ac:dyDescent="0.3">
      <c r="C274" s="12"/>
    </row>
    <row r="275" spans="3:3" ht="15.75" customHeight="1" x14ac:dyDescent="0.3">
      <c r="C275" s="12"/>
    </row>
    <row r="276" spans="3:3" ht="15.75" customHeight="1" x14ac:dyDescent="0.3">
      <c r="C276" s="12"/>
    </row>
    <row r="277" spans="3:3" ht="15.75" customHeight="1" x14ac:dyDescent="0.3">
      <c r="C277" s="12"/>
    </row>
    <row r="278" spans="3:3" ht="15.75" customHeight="1" x14ac:dyDescent="0.3">
      <c r="C278" s="12"/>
    </row>
    <row r="279" spans="3:3" ht="15.75" customHeight="1" x14ac:dyDescent="0.3">
      <c r="C279" s="12"/>
    </row>
    <row r="280" spans="3:3" ht="15.75" customHeight="1" x14ac:dyDescent="0.3">
      <c r="C280" s="12"/>
    </row>
    <row r="281" spans="3:3" ht="15.75" customHeight="1" x14ac:dyDescent="0.3">
      <c r="C281" s="12"/>
    </row>
    <row r="282" spans="3:3" ht="15.75" customHeight="1" x14ac:dyDescent="0.3">
      <c r="C282" s="12"/>
    </row>
    <row r="283" spans="3:3" ht="15.75" customHeight="1" x14ac:dyDescent="0.3">
      <c r="C283" s="12"/>
    </row>
    <row r="284" spans="3:3" ht="15.75" customHeight="1" x14ac:dyDescent="0.3">
      <c r="C284" s="12"/>
    </row>
    <row r="285" spans="3:3" ht="15.75" customHeight="1" x14ac:dyDescent="0.3">
      <c r="C285" s="12"/>
    </row>
    <row r="286" spans="3:3" ht="15.75" customHeight="1" x14ac:dyDescent="0.3">
      <c r="C286" s="12"/>
    </row>
    <row r="287" spans="3:3" ht="15.75" customHeight="1" x14ac:dyDescent="0.3">
      <c r="C287" s="12"/>
    </row>
    <row r="288" spans="3:3" ht="15.75" customHeight="1" x14ac:dyDescent="0.3">
      <c r="C288" s="12"/>
    </row>
    <row r="289" spans="3:3" ht="15.75" customHeight="1" x14ac:dyDescent="0.3">
      <c r="C289" s="12"/>
    </row>
    <row r="290" spans="3:3" ht="15.75" customHeight="1" x14ac:dyDescent="0.3">
      <c r="C290" s="12"/>
    </row>
    <row r="291" spans="3:3" ht="15.75" customHeight="1" x14ac:dyDescent="0.3">
      <c r="C291" s="12"/>
    </row>
    <row r="292" spans="3:3" ht="15.75" customHeight="1" x14ac:dyDescent="0.3">
      <c r="C292" s="12"/>
    </row>
    <row r="293" spans="3:3" ht="15.75" customHeight="1" x14ac:dyDescent="0.3">
      <c r="C293" s="12"/>
    </row>
    <row r="294" spans="3:3" ht="15.75" customHeight="1" x14ac:dyDescent="0.3">
      <c r="C294" s="12"/>
    </row>
    <row r="295" spans="3:3" ht="15.75" customHeight="1" x14ac:dyDescent="0.3">
      <c r="C295" s="12"/>
    </row>
    <row r="296" spans="3:3" ht="15.75" customHeight="1" x14ac:dyDescent="0.3">
      <c r="C296" s="12"/>
    </row>
    <row r="297" spans="3:3" ht="15.75" customHeight="1" x14ac:dyDescent="0.3">
      <c r="C297" s="12"/>
    </row>
    <row r="298" spans="3:3" ht="15.75" customHeight="1" x14ac:dyDescent="0.3">
      <c r="C298" s="12"/>
    </row>
    <row r="299" spans="3:3" ht="15.75" customHeight="1" x14ac:dyDescent="0.3">
      <c r="C299" s="12"/>
    </row>
    <row r="300" spans="3:3" ht="15.75" customHeight="1" x14ac:dyDescent="0.3">
      <c r="C300" s="12"/>
    </row>
    <row r="301" spans="3:3" ht="15.75" customHeight="1" x14ac:dyDescent="0.3">
      <c r="C301" s="12"/>
    </row>
    <row r="302" spans="3:3" ht="15.75" customHeight="1" x14ac:dyDescent="0.3">
      <c r="C302" s="12"/>
    </row>
    <row r="303" spans="3:3" ht="15.75" customHeight="1" x14ac:dyDescent="0.3">
      <c r="C303" s="12"/>
    </row>
    <row r="304" spans="3:3" ht="15.75" customHeight="1" x14ac:dyDescent="0.3">
      <c r="C304" s="12"/>
    </row>
    <row r="305" spans="3:3" ht="15.75" customHeight="1" x14ac:dyDescent="0.3">
      <c r="C305" s="12"/>
    </row>
    <row r="306" spans="3:3" ht="15.75" customHeight="1" x14ac:dyDescent="0.3">
      <c r="C306" s="12"/>
    </row>
    <row r="307" spans="3:3" ht="15.75" customHeight="1" x14ac:dyDescent="0.3">
      <c r="C307" s="12"/>
    </row>
    <row r="308" spans="3:3" ht="15.75" customHeight="1" x14ac:dyDescent="0.3">
      <c r="C308" s="12"/>
    </row>
    <row r="309" spans="3:3" ht="15.75" customHeight="1" x14ac:dyDescent="0.3">
      <c r="C309" s="12"/>
    </row>
    <row r="310" spans="3:3" ht="15.75" customHeight="1" x14ac:dyDescent="0.3">
      <c r="C310" s="12"/>
    </row>
    <row r="311" spans="3:3" ht="15.75" customHeight="1" x14ac:dyDescent="0.3">
      <c r="C311" s="12"/>
    </row>
    <row r="312" spans="3:3" ht="15.75" customHeight="1" x14ac:dyDescent="0.3">
      <c r="C312" s="12"/>
    </row>
    <row r="313" spans="3:3" ht="15.75" customHeight="1" x14ac:dyDescent="0.3">
      <c r="C313" s="12"/>
    </row>
    <row r="314" spans="3:3" ht="15.75" customHeight="1" x14ac:dyDescent="0.3">
      <c r="C314" s="12"/>
    </row>
    <row r="315" spans="3:3" ht="15.75" customHeight="1" x14ac:dyDescent="0.3">
      <c r="C315" s="12"/>
    </row>
    <row r="316" spans="3:3" ht="15.75" customHeight="1" x14ac:dyDescent="0.3">
      <c r="C316" s="12"/>
    </row>
    <row r="317" spans="3:3" ht="15.75" customHeight="1" x14ac:dyDescent="0.3">
      <c r="C317" s="12"/>
    </row>
    <row r="318" spans="3:3" ht="15.75" customHeight="1" x14ac:dyDescent="0.3">
      <c r="C318" s="12"/>
    </row>
    <row r="319" spans="3:3" ht="15.75" customHeight="1" x14ac:dyDescent="0.3">
      <c r="C319" s="12"/>
    </row>
    <row r="320" spans="3:3" ht="15.75" customHeight="1" x14ac:dyDescent="0.3">
      <c r="C320" s="12"/>
    </row>
    <row r="321" spans="3:3" ht="15.75" customHeight="1" x14ac:dyDescent="0.3">
      <c r="C321" s="12"/>
    </row>
    <row r="322" spans="3:3" ht="15.75" customHeight="1" x14ac:dyDescent="0.3">
      <c r="C322" s="12"/>
    </row>
    <row r="323" spans="3:3" ht="15.75" customHeight="1" x14ac:dyDescent="0.3">
      <c r="C323" s="12"/>
    </row>
    <row r="324" spans="3:3" ht="15.75" customHeight="1" x14ac:dyDescent="0.3">
      <c r="C324" s="12"/>
    </row>
    <row r="325" spans="3:3" ht="15.75" customHeight="1" x14ac:dyDescent="0.3">
      <c r="C325" s="12"/>
    </row>
    <row r="326" spans="3:3" ht="15.75" customHeight="1" x14ac:dyDescent="0.3">
      <c r="C326" s="12"/>
    </row>
    <row r="327" spans="3:3" ht="15.75" customHeight="1" x14ac:dyDescent="0.3">
      <c r="C327" s="12"/>
    </row>
    <row r="328" spans="3:3" ht="15.75" customHeight="1" x14ac:dyDescent="0.3">
      <c r="C328" s="12"/>
    </row>
    <row r="329" spans="3:3" ht="15.75" customHeight="1" x14ac:dyDescent="0.3">
      <c r="C329" s="12"/>
    </row>
    <row r="330" spans="3:3" ht="15.75" customHeight="1" x14ac:dyDescent="0.3">
      <c r="C330" s="12"/>
    </row>
    <row r="331" spans="3:3" ht="15.75" customHeight="1" x14ac:dyDescent="0.3">
      <c r="C331" s="12"/>
    </row>
    <row r="332" spans="3:3" ht="15.75" customHeight="1" x14ac:dyDescent="0.3">
      <c r="C332" s="12"/>
    </row>
    <row r="333" spans="3:3" ht="15.75" customHeight="1" x14ac:dyDescent="0.3">
      <c r="C333" s="12"/>
    </row>
    <row r="334" spans="3:3" ht="15.75" customHeight="1" x14ac:dyDescent="0.3">
      <c r="C334" s="12"/>
    </row>
    <row r="335" spans="3:3" ht="15.75" customHeight="1" x14ac:dyDescent="0.3">
      <c r="C335" s="12"/>
    </row>
    <row r="336" spans="3:3" ht="15.75" customHeight="1" x14ac:dyDescent="0.3">
      <c r="C336" s="12"/>
    </row>
    <row r="337" spans="3:3" ht="15.75" customHeight="1" x14ac:dyDescent="0.3">
      <c r="C337" s="12"/>
    </row>
    <row r="338" spans="3:3" ht="15.75" customHeight="1" x14ac:dyDescent="0.3">
      <c r="C338" s="12"/>
    </row>
    <row r="339" spans="3:3" ht="15.75" customHeight="1" x14ac:dyDescent="0.3">
      <c r="C339" s="12"/>
    </row>
    <row r="340" spans="3:3" ht="15.75" customHeight="1" x14ac:dyDescent="0.3">
      <c r="C340" s="12"/>
    </row>
    <row r="341" spans="3:3" ht="15.75" customHeight="1" x14ac:dyDescent="0.3">
      <c r="C341" s="12"/>
    </row>
    <row r="342" spans="3:3" ht="15.75" customHeight="1" x14ac:dyDescent="0.3">
      <c r="C342" s="12"/>
    </row>
    <row r="343" spans="3:3" ht="15.75" customHeight="1" x14ac:dyDescent="0.3">
      <c r="C343" s="12"/>
    </row>
    <row r="344" spans="3:3" ht="15.75" customHeight="1" x14ac:dyDescent="0.3">
      <c r="C344" s="12"/>
    </row>
    <row r="345" spans="3:3" ht="15.75" customHeight="1" x14ac:dyDescent="0.3">
      <c r="C345" s="12"/>
    </row>
    <row r="346" spans="3:3" ht="15.75" customHeight="1" x14ac:dyDescent="0.3">
      <c r="C346" s="12"/>
    </row>
    <row r="347" spans="3:3" ht="15.75" customHeight="1" x14ac:dyDescent="0.3">
      <c r="C347" s="12"/>
    </row>
    <row r="348" spans="3:3" ht="15.75" customHeight="1" x14ac:dyDescent="0.3">
      <c r="C348" s="12"/>
    </row>
    <row r="349" spans="3:3" ht="15.75" customHeight="1" x14ac:dyDescent="0.3">
      <c r="C349" s="12"/>
    </row>
    <row r="350" spans="3:3" ht="15.75" customHeight="1" x14ac:dyDescent="0.3">
      <c r="C350" s="12"/>
    </row>
    <row r="351" spans="3:3" ht="15.75" customHeight="1" x14ac:dyDescent="0.3">
      <c r="C351" s="12"/>
    </row>
    <row r="352" spans="3:3" ht="15.75" customHeight="1" x14ac:dyDescent="0.3">
      <c r="C352" s="12"/>
    </row>
    <row r="353" spans="3:3" ht="15.75" customHeight="1" x14ac:dyDescent="0.3">
      <c r="C353" s="12"/>
    </row>
    <row r="354" spans="3:3" ht="15.75" customHeight="1" x14ac:dyDescent="0.3">
      <c r="C354" s="12"/>
    </row>
    <row r="355" spans="3:3" ht="15.75" customHeight="1" x14ac:dyDescent="0.3">
      <c r="C355" s="12"/>
    </row>
    <row r="356" spans="3:3" ht="15.75" customHeight="1" x14ac:dyDescent="0.3">
      <c r="C356" s="12"/>
    </row>
    <row r="357" spans="3:3" ht="15.75" customHeight="1" x14ac:dyDescent="0.3">
      <c r="C357" s="12"/>
    </row>
    <row r="358" spans="3:3" ht="15.75" customHeight="1" x14ac:dyDescent="0.3">
      <c r="C358" s="12"/>
    </row>
    <row r="359" spans="3:3" ht="15.75" customHeight="1" x14ac:dyDescent="0.3">
      <c r="C359" s="12"/>
    </row>
    <row r="360" spans="3:3" ht="15.75" customHeight="1" x14ac:dyDescent="0.3">
      <c r="C360" s="12"/>
    </row>
    <row r="361" spans="3:3" ht="15.75" customHeight="1" x14ac:dyDescent="0.3">
      <c r="C361" s="12"/>
    </row>
    <row r="362" spans="3:3" ht="15.75" customHeight="1" x14ac:dyDescent="0.3">
      <c r="C362" s="12"/>
    </row>
    <row r="363" spans="3:3" ht="15.75" customHeight="1" x14ac:dyDescent="0.3">
      <c r="C363" s="12"/>
    </row>
    <row r="364" spans="3:3" ht="15.75" customHeight="1" x14ac:dyDescent="0.3">
      <c r="C364" s="12"/>
    </row>
    <row r="365" spans="3:3" ht="15.75" customHeight="1" x14ac:dyDescent="0.3">
      <c r="C365" s="12"/>
    </row>
    <row r="366" spans="3:3" ht="15.75" customHeight="1" x14ac:dyDescent="0.3">
      <c r="C366" s="12"/>
    </row>
    <row r="367" spans="3:3" ht="15.75" customHeight="1" x14ac:dyDescent="0.3">
      <c r="C367" s="12"/>
    </row>
    <row r="368" spans="3:3" ht="15.75" customHeight="1" x14ac:dyDescent="0.3">
      <c r="C368" s="12"/>
    </row>
    <row r="369" spans="3:3" ht="15.75" customHeight="1" x14ac:dyDescent="0.3">
      <c r="C369" s="12"/>
    </row>
    <row r="370" spans="3:3" ht="15.75" customHeight="1" x14ac:dyDescent="0.3">
      <c r="C370" s="12"/>
    </row>
    <row r="371" spans="3:3" ht="15.75" customHeight="1" x14ac:dyDescent="0.3">
      <c r="C371" s="12"/>
    </row>
    <row r="372" spans="3:3" ht="15.75" customHeight="1" x14ac:dyDescent="0.3">
      <c r="C372" s="12"/>
    </row>
    <row r="373" spans="3:3" ht="15.75" customHeight="1" x14ac:dyDescent="0.3">
      <c r="C373" s="12"/>
    </row>
    <row r="374" spans="3:3" ht="15.75" customHeight="1" x14ac:dyDescent="0.3">
      <c r="C374" s="12"/>
    </row>
    <row r="375" spans="3:3" ht="15.75" customHeight="1" x14ac:dyDescent="0.3">
      <c r="C375" s="12"/>
    </row>
    <row r="376" spans="3:3" ht="15.75" customHeight="1" x14ac:dyDescent="0.3">
      <c r="C376" s="12"/>
    </row>
    <row r="377" spans="3:3" ht="15.75" customHeight="1" x14ac:dyDescent="0.3">
      <c r="C377" s="12"/>
    </row>
    <row r="378" spans="3:3" ht="15.75" customHeight="1" x14ac:dyDescent="0.3">
      <c r="C378" s="12"/>
    </row>
    <row r="379" spans="3:3" ht="15.75" customHeight="1" x14ac:dyDescent="0.3">
      <c r="C379" s="12"/>
    </row>
    <row r="380" spans="3:3" ht="15.75" customHeight="1" x14ac:dyDescent="0.3">
      <c r="C380" s="12"/>
    </row>
    <row r="381" spans="3:3" ht="15.75" customHeight="1" x14ac:dyDescent="0.3">
      <c r="C381" s="12"/>
    </row>
    <row r="382" spans="3:3" ht="15.75" customHeight="1" x14ac:dyDescent="0.3">
      <c r="C382" s="12"/>
    </row>
    <row r="383" spans="3:3" ht="15.75" customHeight="1" x14ac:dyDescent="0.3">
      <c r="C383" s="12"/>
    </row>
    <row r="384" spans="3:3" ht="15.75" customHeight="1" x14ac:dyDescent="0.3">
      <c r="C384" s="12"/>
    </row>
    <row r="385" spans="3:3" ht="15.75" customHeight="1" x14ac:dyDescent="0.3">
      <c r="C385" s="12"/>
    </row>
    <row r="386" spans="3:3" ht="15.75" customHeight="1" x14ac:dyDescent="0.3">
      <c r="C386" s="12"/>
    </row>
    <row r="387" spans="3:3" ht="15.75" customHeight="1" x14ac:dyDescent="0.3">
      <c r="C387" s="12"/>
    </row>
    <row r="388" spans="3:3" ht="15.75" customHeight="1" x14ac:dyDescent="0.3">
      <c r="C388" s="12"/>
    </row>
    <row r="389" spans="3:3" ht="15.75" customHeight="1" x14ac:dyDescent="0.3">
      <c r="C389" s="12"/>
    </row>
    <row r="390" spans="3:3" ht="15.75" customHeight="1" x14ac:dyDescent="0.3">
      <c r="C390" s="12"/>
    </row>
    <row r="391" spans="3:3" ht="15.75" customHeight="1" x14ac:dyDescent="0.3">
      <c r="C391" s="12"/>
    </row>
    <row r="392" spans="3:3" ht="15.75" customHeight="1" x14ac:dyDescent="0.3">
      <c r="C392" s="12"/>
    </row>
    <row r="393" spans="3:3" ht="15.75" customHeight="1" x14ac:dyDescent="0.3">
      <c r="C393" s="12"/>
    </row>
    <row r="394" spans="3:3" ht="15.75" customHeight="1" x14ac:dyDescent="0.3">
      <c r="C394" s="12"/>
    </row>
    <row r="395" spans="3:3" ht="15.75" customHeight="1" x14ac:dyDescent="0.3">
      <c r="C395" s="12"/>
    </row>
    <row r="396" spans="3:3" ht="15.75" customHeight="1" x14ac:dyDescent="0.3">
      <c r="C396" s="12"/>
    </row>
    <row r="397" spans="3:3" ht="15.75" customHeight="1" x14ac:dyDescent="0.3">
      <c r="C397" s="12"/>
    </row>
    <row r="398" spans="3:3" ht="15.75" customHeight="1" x14ac:dyDescent="0.3">
      <c r="C398" s="12"/>
    </row>
    <row r="399" spans="3:3" ht="15.75" customHeight="1" x14ac:dyDescent="0.3">
      <c r="C399" s="12"/>
    </row>
    <row r="400" spans="3:3" ht="15.75" customHeight="1" x14ac:dyDescent="0.3">
      <c r="C400" s="12"/>
    </row>
    <row r="401" spans="3:3" ht="15.75" customHeight="1" x14ac:dyDescent="0.3">
      <c r="C401" s="12"/>
    </row>
    <row r="402" spans="3:3" ht="15.75" customHeight="1" x14ac:dyDescent="0.3">
      <c r="C402" s="12"/>
    </row>
    <row r="403" spans="3:3" ht="15.75" customHeight="1" x14ac:dyDescent="0.3">
      <c r="C403" s="12"/>
    </row>
    <row r="404" spans="3:3" ht="15.75" customHeight="1" x14ac:dyDescent="0.3">
      <c r="C404" s="12"/>
    </row>
    <row r="405" spans="3:3" ht="15.75" customHeight="1" x14ac:dyDescent="0.3">
      <c r="C405" s="12"/>
    </row>
    <row r="406" spans="3:3" ht="15.75" customHeight="1" x14ac:dyDescent="0.3">
      <c r="C406" s="12"/>
    </row>
    <row r="407" spans="3:3" ht="15.75" customHeight="1" x14ac:dyDescent="0.3">
      <c r="C407" s="12"/>
    </row>
    <row r="408" spans="3:3" ht="15.75" customHeight="1" x14ac:dyDescent="0.3">
      <c r="C408" s="12"/>
    </row>
    <row r="409" spans="3:3" ht="15.75" customHeight="1" x14ac:dyDescent="0.3">
      <c r="C409" s="12"/>
    </row>
    <row r="410" spans="3:3" ht="15.75" customHeight="1" x14ac:dyDescent="0.3">
      <c r="C410" s="12"/>
    </row>
    <row r="411" spans="3:3" ht="15.75" customHeight="1" x14ac:dyDescent="0.3">
      <c r="C411" s="12"/>
    </row>
    <row r="412" spans="3:3" ht="15.75" customHeight="1" x14ac:dyDescent="0.3">
      <c r="C412" s="12"/>
    </row>
    <row r="413" spans="3:3" ht="15.75" customHeight="1" x14ac:dyDescent="0.3">
      <c r="C413" s="12"/>
    </row>
    <row r="414" spans="3:3" ht="15.75" customHeight="1" x14ac:dyDescent="0.3">
      <c r="C414" s="12"/>
    </row>
    <row r="415" spans="3:3" ht="15.75" customHeight="1" x14ac:dyDescent="0.3">
      <c r="C415" s="12"/>
    </row>
    <row r="416" spans="3:3" ht="15.75" customHeight="1" x14ac:dyDescent="0.3">
      <c r="C416" s="12"/>
    </row>
    <row r="417" spans="3:3" ht="15.75" customHeight="1" x14ac:dyDescent="0.3">
      <c r="C417" s="12"/>
    </row>
    <row r="418" spans="3:3" ht="15.75" customHeight="1" x14ac:dyDescent="0.3">
      <c r="C418" s="12"/>
    </row>
    <row r="419" spans="3:3" ht="15.75" customHeight="1" x14ac:dyDescent="0.3">
      <c r="C419" s="12"/>
    </row>
    <row r="420" spans="3:3" ht="15.75" customHeight="1" x14ac:dyDescent="0.3">
      <c r="C420" s="12"/>
    </row>
    <row r="421" spans="3:3" ht="15.75" customHeight="1" x14ac:dyDescent="0.3">
      <c r="C421" s="12"/>
    </row>
    <row r="422" spans="3:3" ht="15.75" customHeight="1" x14ac:dyDescent="0.3">
      <c r="C422" s="12"/>
    </row>
    <row r="423" spans="3:3" ht="15.75" customHeight="1" x14ac:dyDescent="0.3">
      <c r="C423" s="12"/>
    </row>
    <row r="424" spans="3:3" ht="15.75" customHeight="1" x14ac:dyDescent="0.3">
      <c r="C424" s="12"/>
    </row>
    <row r="425" spans="3:3" ht="15.75" customHeight="1" x14ac:dyDescent="0.3">
      <c r="C425" s="12"/>
    </row>
    <row r="426" spans="3:3" ht="15.75" customHeight="1" x14ac:dyDescent="0.3">
      <c r="C426" s="12"/>
    </row>
    <row r="427" spans="3:3" ht="15.75" customHeight="1" x14ac:dyDescent="0.3">
      <c r="C427" s="12"/>
    </row>
    <row r="428" spans="3:3" ht="15.75" customHeight="1" x14ac:dyDescent="0.3">
      <c r="C428" s="12"/>
    </row>
    <row r="429" spans="3:3" ht="15.75" customHeight="1" x14ac:dyDescent="0.3">
      <c r="C429" s="12"/>
    </row>
    <row r="430" spans="3:3" ht="15.75" customHeight="1" x14ac:dyDescent="0.3">
      <c r="C430" s="12"/>
    </row>
    <row r="431" spans="3:3" ht="15.75" customHeight="1" x14ac:dyDescent="0.3">
      <c r="C431" s="12"/>
    </row>
    <row r="432" spans="3:3" ht="15.75" customHeight="1" x14ac:dyDescent="0.3">
      <c r="C432" s="12"/>
    </row>
    <row r="433" spans="3:3" ht="15.75" customHeight="1" x14ac:dyDescent="0.3">
      <c r="C433" s="12"/>
    </row>
    <row r="434" spans="3:3" ht="15.75" customHeight="1" x14ac:dyDescent="0.3">
      <c r="C434" s="12"/>
    </row>
    <row r="435" spans="3:3" ht="15.75" customHeight="1" x14ac:dyDescent="0.3">
      <c r="C435" s="12"/>
    </row>
    <row r="436" spans="3:3" ht="15.75" customHeight="1" x14ac:dyDescent="0.3">
      <c r="C436" s="12"/>
    </row>
    <row r="437" spans="3:3" ht="15.75" customHeight="1" x14ac:dyDescent="0.3">
      <c r="C437" s="12"/>
    </row>
    <row r="438" spans="3:3" ht="15.75" customHeight="1" x14ac:dyDescent="0.3">
      <c r="C438" s="12"/>
    </row>
    <row r="439" spans="3:3" ht="15.75" customHeight="1" x14ac:dyDescent="0.3">
      <c r="C439" s="12"/>
    </row>
    <row r="440" spans="3:3" ht="15.75" customHeight="1" x14ac:dyDescent="0.3">
      <c r="C440" s="12"/>
    </row>
    <row r="441" spans="3:3" ht="15.75" customHeight="1" x14ac:dyDescent="0.3">
      <c r="C441" s="12"/>
    </row>
    <row r="442" spans="3:3" ht="15.75" customHeight="1" x14ac:dyDescent="0.3">
      <c r="C442" s="12"/>
    </row>
    <row r="443" spans="3:3" ht="15.75" customHeight="1" x14ac:dyDescent="0.3">
      <c r="C443" s="12"/>
    </row>
    <row r="444" spans="3:3" ht="15.75" customHeight="1" x14ac:dyDescent="0.3">
      <c r="C444" s="12"/>
    </row>
    <row r="445" spans="3:3" ht="15.75" customHeight="1" x14ac:dyDescent="0.3">
      <c r="C445" s="12"/>
    </row>
    <row r="446" spans="3:3" ht="15.75" customHeight="1" x14ac:dyDescent="0.3">
      <c r="C446" s="12"/>
    </row>
    <row r="447" spans="3:3" ht="15.75" customHeight="1" x14ac:dyDescent="0.3">
      <c r="C447" s="12"/>
    </row>
    <row r="448" spans="3:3" ht="15.75" customHeight="1" x14ac:dyDescent="0.3">
      <c r="C448" s="12"/>
    </row>
    <row r="449" spans="3:3" ht="15.75" customHeight="1" x14ac:dyDescent="0.3">
      <c r="C449" s="12"/>
    </row>
    <row r="450" spans="3:3" ht="15.75" customHeight="1" x14ac:dyDescent="0.3">
      <c r="C450" s="12"/>
    </row>
    <row r="451" spans="3:3" ht="15.75" customHeight="1" x14ac:dyDescent="0.3">
      <c r="C451" s="12"/>
    </row>
    <row r="452" spans="3:3" ht="15.75" customHeight="1" x14ac:dyDescent="0.3">
      <c r="C452" s="12"/>
    </row>
    <row r="453" spans="3:3" ht="15.75" customHeight="1" x14ac:dyDescent="0.3">
      <c r="C453" s="12"/>
    </row>
    <row r="454" spans="3:3" ht="15.75" customHeight="1" x14ac:dyDescent="0.3">
      <c r="C454" s="12"/>
    </row>
    <row r="455" spans="3:3" ht="15.75" customHeight="1" x14ac:dyDescent="0.3">
      <c r="C455" s="12"/>
    </row>
    <row r="456" spans="3:3" ht="15.75" customHeight="1" x14ac:dyDescent="0.3">
      <c r="C456" s="12"/>
    </row>
    <row r="457" spans="3:3" ht="15.75" customHeight="1" x14ac:dyDescent="0.3">
      <c r="C457" s="12"/>
    </row>
    <row r="458" spans="3:3" ht="15.75" customHeight="1" x14ac:dyDescent="0.3">
      <c r="C458" s="12"/>
    </row>
    <row r="459" spans="3:3" ht="15.75" customHeight="1" x14ac:dyDescent="0.3">
      <c r="C459" s="12"/>
    </row>
    <row r="460" spans="3:3" ht="15.75" customHeight="1" x14ac:dyDescent="0.3">
      <c r="C460" s="12"/>
    </row>
    <row r="461" spans="3:3" ht="15.75" customHeight="1" x14ac:dyDescent="0.3">
      <c r="C461" s="12"/>
    </row>
    <row r="462" spans="3:3" ht="15.75" customHeight="1" x14ac:dyDescent="0.3">
      <c r="C462" s="12"/>
    </row>
    <row r="463" spans="3:3" ht="15.75" customHeight="1" x14ac:dyDescent="0.3">
      <c r="C463" s="12"/>
    </row>
    <row r="464" spans="3:3" ht="15.75" customHeight="1" x14ac:dyDescent="0.3">
      <c r="C464" s="12"/>
    </row>
    <row r="465" spans="3:3" ht="15.75" customHeight="1" x14ac:dyDescent="0.3">
      <c r="C465" s="12"/>
    </row>
    <row r="466" spans="3:3" ht="15.75" customHeight="1" x14ac:dyDescent="0.3">
      <c r="C466" s="12"/>
    </row>
    <row r="467" spans="3:3" ht="15.75" customHeight="1" x14ac:dyDescent="0.3">
      <c r="C467" s="12"/>
    </row>
    <row r="468" spans="3:3" ht="15.75" customHeight="1" x14ac:dyDescent="0.3">
      <c r="C468" s="12"/>
    </row>
    <row r="469" spans="3:3" ht="15.75" customHeight="1" x14ac:dyDescent="0.3">
      <c r="C469" s="12"/>
    </row>
    <row r="470" spans="3:3" ht="15.75" customHeight="1" x14ac:dyDescent="0.3">
      <c r="C470" s="12"/>
    </row>
    <row r="471" spans="3:3" ht="15.75" customHeight="1" x14ac:dyDescent="0.3">
      <c r="C471" s="12"/>
    </row>
    <row r="472" spans="3:3" ht="15.75" customHeight="1" x14ac:dyDescent="0.3">
      <c r="C472" s="12"/>
    </row>
    <row r="473" spans="3:3" ht="15.75" customHeight="1" x14ac:dyDescent="0.3">
      <c r="C473" s="12"/>
    </row>
    <row r="474" spans="3:3" ht="15.75" customHeight="1" x14ac:dyDescent="0.3">
      <c r="C474" s="12"/>
    </row>
    <row r="475" spans="3:3" ht="15.75" customHeight="1" x14ac:dyDescent="0.3">
      <c r="C475" s="12"/>
    </row>
    <row r="476" spans="3:3" ht="15.75" customHeight="1" x14ac:dyDescent="0.3">
      <c r="C476" s="12"/>
    </row>
    <row r="477" spans="3:3" ht="15.75" customHeight="1" x14ac:dyDescent="0.3">
      <c r="C477" s="12"/>
    </row>
    <row r="478" spans="3:3" ht="15.75" customHeight="1" x14ac:dyDescent="0.3">
      <c r="C478" s="12"/>
    </row>
    <row r="479" spans="3:3" ht="15.75" customHeight="1" x14ac:dyDescent="0.3">
      <c r="C479" s="12"/>
    </row>
    <row r="480" spans="3:3" ht="15.75" customHeight="1" x14ac:dyDescent="0.3">
      <c r="C480" s="12"/>
    </row>
    <row r="481" spans="3:3" ht="15.75" customHeight="1" x14ac:dyDescent="0.3">
      <c r="C481" s="12"/>
    </row>
    <row r="482" spans="3:3" ht="15.75" customHeight="1" x14ac:dyDescent="0.3">
      <c r="C482" s="12"/>
    </row>
    <row r="483" spans="3:3" ht="15.75" customHeight="1" x14ac:dyDescent="0.3">
      <c r="C483" s="12"/>
    </row>
    <row r="484" spans="3:3" ht="15.75" customHeight="1" x14ac:dyDescent="0.3">
      <c r="C484" s="12"/>
    </row>
    <row r="485" spans="3:3" ht="15.75" customHeight="1" x14ac:dyDescent="0.3">
      <c r="C485" s="12"/>
    </row>
    <row r="486" spans="3:3" ht="15.75" customHeight="1" x14ac:dyDescent="0.3">
      <c r="C486" s="12"/>
    </row>
    <row r="487" spans="3:3" ht="15.75" customHeight="1" x14ac:dyDescent="0.3">
      <c r="C487" s="12"/>
    </row>
    <row r="488" spans="3:3" ht="15.75" customHeight="1" x14ac:dyDescent="0.3">
      <c r="C488" s="12"/>
    </row>
    <row r="489" spans="3:3" ht="15.75" customHeight="1" x14ac:dyDescent="0.3">
      <c r="C489" s="12"/>
    </row>
    <row r="490" spans="3:3" ht="15.75" customHeight="1" x14ac:dyDescent="0.3">
      <c r="C490" s="12"/>
    </row>
    <row r="491" spans="3:3" ht="15.75" customHeight="1" x14ac:dyDescent="0.3">
      <c r="C491" s="12"/>
    </row>
    <row r="492" spans="3:3" ht="15.75" customHeight="1" x14ac:dyDescent="0.3">
      <c r="C492" s="12"/>
    </row>
    <row r="493" spans="3:3" ht="15.75" customHeight="1" x14ac:dyDescent="0.3">
      <c r="C493" s="12"/>
    </row>
    <row r="494" spans="3:3" ht="15.75" customHeight="1" x14ac:dyDescent="0.3">
      <c r="C494" s="12"/>
    </row>
    <row r="495" spans="3:3" ht="15.75" customHeight="1" x14ac:dyDescent="0.3">
      <c r="C495" s="12"/>
    </row>
    <row r="496" spans="3:3" ht="15.75" customHeight="1" x14ac:dyDescent="0.3">
      <c r="C496" s="12"/>
    </row>
    <row r="497" spans="3:3" ht="15.75" customHeight="1" x14ac:dyDescent="0.3">
      <c r="C497" s="12"/>
    </row>
    <row r="498" spans="3:3" ht="15.75" customHeight="1" x14ac:dyDescent="0.3">
      <c r="C498" s="12"/>
    </row>
    <row r="499" spans="3:3" ht="15.75" customHeight="1" x14ac:dyDescent="0.3">
      <c r="C499" s="12"/>
    </row>
    <row r="500" spans="3:3" ht="15.75" customHeight="1" x14ac:dyDescent="0.3">
      <c r="C500" s="12"/>
    </row>
    <row r="501" spans="3:3" ht="15.75" customHeight="1" x14ac:dyDescent="0.3">
      <c r="C501" s="12"/>
    </row>
    <row r="502" spans="3:3" ht="15.75" customHeight="1" x14ac:dyDescent="0.3">
      <c r="C502" s="12"/>
    </row>
    <row r="503" spans="3:3" ht="15.75" customHeight="1" x14ac:dyDescent="0.3">
      <c r="C503" s="12"/>
    </row>
    <row r="504" spans="3:3" ht="15.75" customHeight="1" x14ac:dyDescent="0.3">
      <c r="C504" s="12"/>
    </row>
    <row r="505" spans="3:3" ht="15.75" customHeight="1" x14ac:dyDescent="0.3">
      <c r="C505" s="12"/>
    </row>
    <row r="506" spans="3:3" ht="15.75" customHeight="1" x14ac:dyDescent="0.3">
      <c r="C506" s="12"/>
    </row>
    <row r="507" spans="3:3" ht="15.75" customHeight="1" x14ac:dyDescent="0.3">
      <c r="C507" s="12"/>
    </row>
    <row r="508" spans="3:3" ht="15.75" customHeight="1" x14ac:dyDescent="0.3">
      <c r="C508" s="12"/>
    </row>
    <row r="509" spans="3:3" ht="15.75" customHeight="1" x14ac:dyDescent="0.3">
      <c r="C509" s="12"/>
    </row>
    <row r="510" spans="3:3" ht="15.75" customHeight="1" x14ac:dyDescent="0.3">
      <c r="C510" s="12"/>
    </row>
    <row r="511" spans="3:3" ht="15.75" customHeight="1" x14ac:dyDescent="0.3">
      <c r="C511" s="12"/>
    </row>
    <row r="512" spans="3:3" ht="15.75" customHeight="1" x14ac:dyDescent="0.3">
      <c r="C512" s="12"/>
    </row>
    <row r="513" spans="3:3" ht="15.75" customHeight="1" x14ac:dyDescent="0.3">
      <c r="C513" s="12"/>
    </row>
    <row r="514" spans="3:3" ht="15.75" customHeight="1" x14ac:dyDescent="0.3">
      <c r="C514" s="12"/>
    </row>
    <row r="515" spans="3:3" ht="15.75" customHeight="1" x14ac:dyDescent="0.3">
      <c r="C515" s="12"/>
    </row>
    <row r="516" spans="3:3" ht="15.75" customHeight="1" x14ac:dyDescent="0.3">
      <c r="C516" s="12"/>
    </row>
    <row r="517" spans="3:3" ht="15.75" customHeight="1" x14ac:dyDescent="0.3">
      <c r="C517" s="12"/>
    </row>
    <row r="518" spans="3:3" ht="15.75" customHeight="1" x14ac:dyDescent="0.3">
      <c r="C518" s="12"/>
    </row>
    <row r="519" spans="3:3" ht="15.75" customHeight="1" x14ac:dyDescent="0.3">
      <c r="C519" s="12"/>
    </row>
    <row r="520" spans="3:3" ht="15.75" customHeight="1" x14ac:dyDescent="0.3">
      <c r="C520" s="12"/>
    </row>
    <row r="521" spans="3:3" ht="15.75" customHeight="1" x14ac:dyDescent="0.3">
      <c r="C521" s="12"/>
    </row>
    <row r="522" spans="3:3" ht="15.75" customHeight="1" x14ac:dyDescent="0.3">
      <c r="C522" s="12"/>
    </row>
    <row r="523" spans="3:3" ht="15.75" customHeight="1" x14ac:dyDescent="0.3">
      <c r="C523" s="12"/>
    </row>
    <row r="524" spans="3:3" ht="15.75" customHeight="1" x14ac:dyDescent="0.3">
      <c r="C524" s="12"/>
    </row>
    <row r="525" spans="3:3" ht="15.75" customHeight="1" x14ac:dyDescent="0.3">
      <c r="C525" s="12"/>
    </row>
    <row r="526" spans="3:3" ht="15.75" customHeight="1" x14ac:dyDescent="0.3">
      <c r="C526" s="12"/>
    </row>
    <row r="527" spans="3:3" ht="15.75" customHeight="1" x14ac:dyDescent="0.3">
      <c r="C527" s="12"/>
    </row>
    <row r="528" spans="3:3" ht="15.75" customHeight="1" x14ac:dyDescent="0.3">
      <c r="C528" s="12"/>
    </row>
    <row r="529" spans="3:3" ht="15.75" customHeight="1" x14ac:dyDescent="0.3">
      <c r="C529" s="12"/>
    </row>
    <row r="530" spans="3:3" ht="15.75" customHeight="1" x14ac:dyDescent="0.3">
      <c r="C530" s="12"/>
    </row>
    <row r="531" spans="3:3" ht="15.75" customHeight="1" x14ac:dyDescent="0.3">
      <c r="C531" s="12"/>
    </row>
    <row r="532" spans="3:3" ht="15.75" customHeight="1" x14ac:dyDescent="0.3">
      <c r="C532" s="12"/>
    </row>
    <row r="533" spans="3:3" ht="15.75" customHeight="1" x14ac:dyDescent="0.3">
      <c r="C533" s="12"/>
    </row>
    <row r="534" spans="3:3" ht="15.75" customHeight="1" x14ac:dyDescent="0.3">
      <c r="C534" s="12"/>
    </row>
    <row r="535" spans="3:3" ht="15.75" customHeight="1" x14ac:dyDescent="0.3">
      <c r="C535" s="12"/>
    </row>
    <row r="536" spans="3:3" ht="15.75" customHeight="1" x14ac:dyDescent="0.3">
      <c r="C536" s="12"/>
    </row>
    <row r="537" spans="3:3" ht="15.75" customHeight="1" x14ac:dyDescent="0.3">
      <c r="C537" s="12"/>
    </row>
    <row r="538" spans="3:3" ht="15.75" customHeight="1" x14ac:dyDescent="0.3">
      <c r="C538" s="12"/>
    </row>
    <row r="539" spans="3:3" ht="15.75" customHeight="1" x14ac:dyDescent="0.3">
      <c r="C539" s="12"/>
    </row>
    <row r="540" spans="3:3" ht="15.75" customHeight="1" x14ac:dyDescent="0.3">
      <c r="C540" s="12"/>
    </row>
    <row r="541" spans="3:3" ht="15.75" customHeight="1" x14ac:dyDescent="0.3">
      <c r="C541" s="12"/>
    </row>
    <row r="542" spans="3:3" ht="15.75" customHeight="1" x14ac:dyDescent="0.3">
      <c r="C542" s="12"/>
    </row>
    <row r="543" spans="3:3" ht="15.75" customHeight="1" x14ac:dyDescent="0.3">
      <c r="C543" s="12"/>
    </row>
    <row r="544" spans="3:3" ht="15.75" customHeight="1" x14ac:dyDescent="0.3">
      <c r="C544" s="12"/>
    </row>
    <row r="545" spans="3:3" ht="15.75" customHeight="1" x14ac:dyDescent="0.3">
      <c r="C545" s="12"/>
    </row>
    <row r="546" spans="3:3" ht="15.75" customHeight="1" x14ac:dyDescent="0.3">
      <c r="C546" s="12"/>
    </row>
    <row r="547" spans="3:3" ht="15.75" customHeight="1" x14ac:dyDescent="0.3">
      <c r="C547" s="12"/>
    </row>
    <row r="548" spans="3:3" ht="15.75" customHeight="1" x14ac:dyDescent="0.3">
      <c r="C548" s="12"/>
    </row>
    <row r="549" spans="3:3" ht="15.75" customHeight="1" x14ac:dyDescent="0.3">
      <c r="C549" s="12"/>
    </row>
    <row r="550" spans="3:3" ht="15.75" customHeight="1" x14ac:dyDescent="0.3">
      <c r="C550" s="12"/>
    </row>
    <row r="551" spans="3:3" ht="15.75" customHeight="1" x14ac:dyDescent="0.3">
      <c r="C551" s="12"/>
    </row>
    <row r="552" spans="3:3" ht="15.75" customHeight="1" x14ac:dyDescent="0.3">
      <c r="C552" s="12"/>
    </row>
    <row r="553" spans="3:3" ht="15.75" customHeight="1" x14ac:dyDescent="0.3">
      <c r="C553" s="12"/>
    </row>
    <row r="554" spans="3:3" ht="15.75" customHeight="1" x14ac:dyDescent="0.3">
      <c r="C554" s="12"/>
    </row>
    <row r="555" spans="3:3" ht="15.75" customHeight="1" x14ac:dyDescent="0.3">
      <c r="C555" s="12"/>
    </row>
    <row r="556" spans="3:3" ht="15.75" customHeight="1" x14ac:dyDescent="0.3">
      <c r="C556" s="12"/>
    </row>
    <row r="557" spans="3:3" ht="15.75" customHeight="1" x14ac:dyDescent="0.3">
      <c r="C557" s="12"/>
    </row>
    <row r="558" spans="3:3" ht="15.75" customHeight="1" x14ac:dyDescent="0.3">
      <c r="C558" s="12"/>
    </row>
    <row r="559" spans="3:3" ht="15.75" customHeight="1" x14ac:dyDescent="0.3">
      <c r="C559" s="12"/>
    </row>
    <row r="560" spans="3:3" ht="15.75" customHeight="1" x14ac:dyDescent="0.3">
      <c r="C560" s="12"/>
    </row>
    <row r="561" spans="3:3" ht="15.75" customHeight="1" x14ac:dyDescent="0.3">
      <c r="C561" s="12"/>
    </row>
    <row r="562" spans="3:3" ht="15.75" customHeight="1" x14ac:dyDescent="0.3">
      <c r="C562" s="12"/>
    </row>
    <row r="563" spans="3:3" ht="15.75" customHeight="1" x14ac:dyDescent="0.3">
      <c r="C563" s="12"/>
    </row>
    <row r="564" spans="3:3" ht="15.75" customHeight="1" x14ac:dyDescent="0.3">
      <c r="C564" s="12"/>
    </row>
    <row r="565" spans="3:3" ht="15.75" customHeight="1" x14ac:dyDescent="0.3">
      <c r="C565" s="12"/>
    </row>
    <row r="566" spans="3:3" ht="15.75" customHeight="1" x14ac:dyDescent="0.3">
      <c r="C566" s="12"/>
    </row>
    <row r="567" spans="3:3" ht="15.75" customHeight="1" x14ac:dyDescent="0.3">
      <c r="C567" s="12"/>
    </row>
    <row r="568" spans="3:3" ht="15.75" customHeight="1" x14ac:dyDescent="0.3">
      <c r="C568" s="12"/>
    </row>
    <row r="569" spans="3:3" ht="15.75" customHeight="1" x14ac:dyDescent="0.3">
      <c r="C569" s="12"/>
    </row>
    <row r="570" spans="3:3" ht="15.75" customHeight="1" x14ac:dyDescent="0.3">
      <c r="C570" s="12"/>
    </row>
    <row r="571" spans="3:3" ht="15.75" customHeight="1" x14ac:dyDescent="0.3">
      <c r="C571" s="12"/>
    </row>
    <row r="572" spans="3:3" ht="15.75" customHeight="1" x14ac:dyDescent="0.3">
      <c r="C572" s="12"/>
    </row>
    <row r="573" spans="3:3" ht="15.75" customHeight="1" x14ac:dyDescent="0.3">
      <c r="C573" s="12"/>
    </row>
    <row r="574" spans="3:3" ht="15.75" customHeight="1" x14ac:dyDescent="0.3">
      <c r="C574" s="12"/>
    </row>
    <row r="575" spans="3:3" ht="15.75" customHeight="1" x14ac:dyDescent="0.3">
      <c r="C575" s="12"/>
    </row>
    <row r="576" spans="3:3" ht="15.75" customHeight="1" x14ac:dyDescent="0.3">
      <c r="C576" s="12"/>
    </row>
    <row r="577" spans="3:3" ht="15.75" customHeight="1" x14ac:dyDescent="0.3">
      <c r="C577" s="12"/>
    </row>
    <row r="578" spans="3:3" ht="15.75" customHeight="1" x14ac:dyDescent="0.3">
      <c r="C578" s="12"/>
    </row>
    <row r="579" spans="3:3" ht="15.75" customHeight="1" x14ac:dyDescent="0.3">
      <c r="C579" s="12"/>
    </row>
    <row r="580" spans="3:3" ht="15.75" customHeight="1" x14ac:dyDescent="0.3">
      <c r="C580" s="12"/>
    </row>
    <row r="581" spans="3:3" ht="15.75" customHeight="1" x14ac:dyDescent="0.3">
      <c r="C581" s="12"/>
    </row>
    <row r="582" spans="3:3" ht="15.75" customHeight="1" x14ac:dyDescent="0.3">
      <c r="C582" s="12"/>
    </row>
    <row r="583" spans="3:3" ht="15.75" customHeight="1" x14ac:dyDescent="0.3">
      <c r="C583" s="12"/>
    </row>
    <row r="584" spans="3:3" ht="15.75" customHeight="1" x14ac:dyDescent="0.3">
      <c r="C584" s="12"/>
    </row>
    <row r="585" spans="3:3" ht="15.75" customHeight="1" x14ac:dyDescent="0.3">
      <c r="C585" s="12"/>
    </row>
    <row r="586" spans="3:3" ht="15.75" customHeight="1" x14ac:dyDescent="0.3">
      <c r="C586" s="12"/>
    </row>
    <row r="587" spans="3:3" ht="15.75" customHeight="1" x14ac:dyDescent="0.3">
      <c r="C587" s="12"/>
    </row>
    <row r="588" spans="3:3" ht="15.75" customHeight="1" x14ac:dyDescent="0.3">
      <c r="C588" s="12"/>
    </row>
    <row r="589" spans="3:3" ht="15.75" customHeight="1" x14ac:dyDescent="0.3">
      <c r="C589" s="12"/>
    </row>
    <row r="590" spans="3:3" ht="15.75" customHeight="1" x14ac:dyDescent="0.3">
      <c r="C590" s="12"/>
    </row>
    <row r="591" spans="3:3" ht="15.75" customHeight="1" x14ac:dyDescent="0.3">
      <c r="C591" s="12"/>
    </row>
    <row r="592" spans="3:3" ht="15.75" customHeight="1" x14ac:dyDescent="0.3">
      <c r="C592" s="12"/>
    </row>
    <row r="593" spans="3:3" ht="15.75" customHeight="1" x14ac:dyDescent="0.3">
      <c r="C593" s="12"/>
    </row>
    <row r="594" spans="3:3" ht="15.75" customHeight="1" x14ac:dyDescent="0.3">
      <c r="C594" s="12"/>
    </row>
    <row r="595" spans="3:3" ht="15.75" customHeight="1" x14ac:dyDescent="0.3">
      <c r="C595" s="12"/>
    </row>
    <row r="596" spans="3:3" ht="15.75" customHeight="1" x14ac:dyDescent="0.3">
      <c r="C596" s="12"/>
    </row>
    <row r="597" spans="3:3" ht="15.75" customHeight="1" x14ac:dyDescent="0.3">
      <c r="C597" s="12"/>
    </row>
    <row r="598" spans="3:3" ht="15.75" customHeight="1" x14ac:dyDescent="0.3">
      <c r="C598" s="12"/>
    </row>
    <row r="599" spans="3:3" ht="15.75" customHeight="1" x14ac:dyDescent="0.3">
      <c r="C599" s="12"/>
    </row>
    <row r="600" spans="3:3" ht="15.75" customHeight="1" x14ac:dyDescent="0.3">
      <c r="C600" s="12"/>
    </row>
    <row r="601" spans="3:3" ht="15.75" customHeight="1" x14ac:dyDescent="0.3">
      <c r="C601" s="12"/>
    </row>
    <row r="602" spans="3:3" ht="15.75" customHeight="1" x14ac:dyDescent="0.3">
      <c r="C602" s="12"/>
    </row>
    <row r="603" spans="3:3" ht="15.75" customHeight="1" x14ac:dyDescent="0.3">
      <c r="C603" s="12"/>
    </row>
    <row r="604" spans="3:3" ht="15.75" customHeight="1" x14ac:dyDescent="0.3">
      <c r="C604" s="12"/>
    </row>
    <row r="605" spans="3:3" ht="15.75" customHeight="1" x14ac:dyDescent="0.3">
      <c r="C605" s="12"/>
    </row>
    <row r="606" spans="3:3" ht="15.75" customHeight="1" x14ac:dyDescent="0.3">
      <c r="C606" s="12"/>
    </row>
    <row r="607" spans="3:3" ht="15.75" customHeight="1" x14ac:dyDescent="0.3">
      <c r="C607" s="12"/>
    </row>
    <row r="608" spans="3:3" ht="15.75" customHeight="1" x14ac:dyDescent="0.3">
      <c r="C608" s="12"/>
    </row>
    <row r="609" spans="3:3" ht="15.75" customHeight="1" x14ac:dyDescent="0.3">
      <c r="C609" s="12"/>
    </row>
    <row r="610" spans="3:3" ht="15.75" customHeight="1" x14ac:dyDescent="0.3">
      <c r="C610" s="12"/>
    </row>
    <row r="611" spans="3:3" ht="15.75" customHeight="1" x14ac:dyDescent="0.3">
      <c r="C611" s="12"/>
    </row>
    <row r="612" spans="3:3" ht="15.75" customHeight="1" x14ac:dyDescent="0.3">
      <c r="C612" s="12"/>
    </row>
    <row r="613" spans="3:3" ht="15.75" customHeight="1" x14ac:dyDescent="0.3">
      <c r="C613" s="12"/>
    </row>
    <row r="614" spans="3:3" ht="15.75" customHeight="1" x14ac:dyDescent="0.3">
      <c r="C614" s="12"/>
    </row>
    <row r="615" spans="3:3" ht="15.75" customHeight="1" x14ac:dyDescent="0.3">
      <c r="C615" s="12"/>
    </row>
    <row r="616" spans="3:3" ht="15.75" customHeight="1" x14ac:dyDescent="0.3">
      <c r="C616" s="12"/>
    </row>
    <row r="617" spans="3:3" ht="15.75" customHeight="1" x14ac:dyDescent="0.3">
      <c r="C617" s="12"/>
    </row>
    <row r="618" spans="3:3" ht="15.75" customHeight="1" x14ac:dyDescent="0.3">
      <c r="C618" s="12"/>
    </row>
    <row r="619" spans="3:3" ht="15.75" customHeight="1" x14ac:dyDescent="0.3">
      <c r="C619" s="12"/>
    </row>
    <row r="620" spans="3:3" ht="15.75" customHeight="1" x14ac:dyDescent="0.3">
      <c r="C620" s="12"/>
    </row>
    <row r="621" spans="3:3" ht="15.75" customHeight="1" x14ac:dyDescent="0.3">
      <c r="C621" s="12"/>
    </row>
    <row r="622" spans="3:3" ht="15.75" customHeight="1" x14ac:dyDescent="0.3">
      <c r="C622" s="12"/>
    </row>
    <row r="623" spans="3:3" ht="15.75" customHeight="1" x14ac:dyDescent="0.3">
      <c r="C623" s="12"/>
    </row>
    <row r="624" spans="3:3" ht="15.75" customHeight="1" x14ac:dyDescent="0.3">
      <c r="C624" s="12"/>
    </row>
    <row r="625" spans="3:3" ht="15.75" customHeight="1" x14ac:dyDescent="0.3">
      <c r="C625" s="12"/>
    </row>
    <row r="626" spans="3:3" ht="15.75" customHeight="1" x14ac:dyDescent="0.3">
      <c r="C626" s="12"/>
    </row>
    <row r="627" spans="3:3" ht="15.75" customHeight="1" x14ac:dyDescent="0.3">
      <c r="C627" s="12"/>
    </row>
    <row r="628" spans="3:3" ht="15.75" customHeight="1" x14ac:dyDescent="0.3">
      <c r="C628" s="12"/>
    </row>
    <row r="629" spans="3:3" ht="15.75" customHeight="1" x14ac:dyDescent="0.3">
      <c r="C629" s="12"/>
    </row>
    <row r="630" spans="3:3" ht="15.75" customHeight="1" x14ac:dyDescent="0.3">
      <c r="C630" s="12"/>
    </row>
    <row r="631" spans="3:3" ht="15.75" customHeight="1" x14ac:dyDescent="0.3">
      <c r="C631" s="12"/>
    </row>
    <row r="632" spans="3:3" ht="15.75" customHeight="1" x14ac:dyDescent="0.3">
      <c r="C632" s="12"/>
    </row>
    <row r="633" spans="3:3" ht="15.75" customHeight="1" x14ac:dyDescent="0.3">
      <c r="C633" s="12"/>
    </row>
    <row r="634" spans="3:3" ht="15.75" customHeight="1" x14ac:dyDescent="0.3">
      <c r="C634" s="12"/>
    </row>
    <row r="635" spans="3:3" ht="15.75" customHeight="1" x14ac:dyDescent="0.3">
      <c r="C635" s="12"/>
    </row>
    <row r="636" spans="3:3" ht="15.75" customHeight="1" x14ac:dyDescent="0.3">
      <c r="C636" s="12"/>
    </row>
    <row r="637" spans="3:3" ht="15.75" customHeight="1" x14ac:dyDescent="0.3">
      <c r="C637" s="12"/>
    </row>
    <row r="638" spans="3:3" ht="15.75" customHeight="1" x14ac:dyDescent="0.3">
      <c r="C638" s="12"/>
    </row>
    <row r="639" spans="3:3" ht="15.75" customHeight="1" x14ac:dyDescent="0.3">
      <c r="C639" s="12"/>
    </row>
    <row r="640" spans="3:3" ht="15.75" customHeight="1" x14ac:dyDescent="0.3">
      <c r="C640" s="12"/>
    </row>
    <row r="641" spans="3:3" ht="15.75" customHeight="1" x14ac:dyDescent="0.3">
      <c r="C641" s="12"/>
    </row>
    <row r="642" spans="3:3" ht="15.75" customHeight="1" x14ac:dyDescent="0.3">
      <c r="C642" s="12"/>
    </row>
    <row r="643" spans="3:3" ht="15.75" customHeight="1" x14ac:dyDescent="0.3">
      <c r="C643" s="12"/>
    </row>
    <row r="644" spans="3:3" ht="15.75" customHeight="1" x14ac:dyDescent="0.3">
      <c r="C644" s="12"/>
    </row>
    <row r="645" spans="3:3" ht="15.75" customHeight="1" x14ac:dyDescent="0.3">
      <c r="C645" s="12"/>
    </row>
    <row r="646" spans="3:3" ht="15.75" customHeight="1" x14ac:dyDescent="0.3">
      <c r="C646" s="12"/>
    </row>
    <row r="647" spans="3:3" ht="15.75" customHeight="1" x14ac:dyDescent="0.3">
      <c r="C647" s="12"/>
    </row>
    <row r="648" spans="3:3" ht="15.75" customHeight="1" x14ac:dyDescent="0.3">
      <c r="C648" s="12"/>
    </row>
    <row r="649" spans="3:3" ht="15.75" customHeight="1" x14ac:dyDescent="0.3">
      <c r="C649" s="12"/>
    </row>
    <row r="650" spans="3:3" ht="15.75" customHeight="1" x14ac:dyDescent="0.3">
      <c r="C650" s="12"/>
    </row>
    <row r="651" spans="3:3" ht="15.75" customHeight="1" x14ac:dyDescent="0.3">
      <c r="C651" s="12"/>
    </row>
    <row r="652" spans="3:3" ht="15.75" customHeight="1" x14ac:dyDescent="0.3">
      <c r="C652" s="12"/>
    </row>
    <row r="653" spans="3:3" ht="15.75" customHeight="1" x14ac:dyDescent="0.3">
      <c r="C653" s="12"/>
    </row>
    <row r="654" spans="3:3" ht="15.75" customHeight="1" x14ac:dyDescent="0.3">
      <c r="C654" s="12"/>
    </row>
    <row r="655" spans="3:3" ht="15.75" customHeight="1" x14ac:dyDescent="0.3">
      <c r="C655" s="12"/>
    </row>
    <row r="656" spans="3:3" ht="15.75" customHeight="1" x14ac:dyDescent="0.3">
      <c r="C656" s="12"/>
    </row>
    <row r="657" spans="3:3" ht="15.75" customHeight="1" x14ac:dyDescent="0.3">
      <c r="C657" s="12"/>
    </row>
    <row r="658" spans="3:3" ht="15.75" customHeight="1" x14ac:dyDescent="0.3">
      <c r="C658" s="12"/>
    </row>
    <row r="659" spans="3:3" ht="15.75" customHeight="1" x14ac:dyDescent="0.3">
      <c r="C659" s="12"/>
    </row>
    <row r="660" spans="3:3" ht="15.75" customHeight="1" x14ac:dyDescent="0.3">
      <c r="C660" s="12"/>
    </row>
    <row r="661" spans="3:3" ht="15.75" customHeight="1" x14ac:dyDescent="0.3">
      <c r="C661" s="12"/>
    </row>
    <row r="662" spans="3:3" ht="15.75" customHeight="1" x14ac:dyDescent="0.3">
      <c r="C662" s="12"/>
    </row>
    <row r="663" spans="3:3" ht="15.75" customHeight="1" x14ac:dyDescent="0.3">
      <c r="C663" s="12"/>
    </row>
    <row r="664" spans="3:3" ht="15.75" customHeight="1" x14ac:dyDescent="0.3">
      <c r="C664" s="12"/>
    </row>
    <row r="665" spans="3:3" ht="15.75" customHeight="1" x14ac:dyDescent="0.3">
      <c r="C665" s="12"/>
    </row>
    <row r="666" spans="3:3" ht="15.75" customHeight="1" x14ac:dyDescent="0.3">
      <c r="C666" s="12"/>
    </row>
    <row r="667" spans="3:3" ht="15.75" customHeight="1" x14ac:dyDescent="0.3">
      <c r="C667" s="12"/>
    </row>
    <row r="668" spans="3:3" ht="15.75" customHeight="1" x14ac:dyDescent="0.3">
      <c r="C668" s="12"/>
    </row>
    <row r="669" spans="3:3" ht="15.75" customHeight="1" x14ac:dyDescent="0.3">
      <c r="C669" s="12"/>
    </row>
    <row r="670" spans="3:3" ht="15.75" customHeight="1" x14ac:dyDescent="0.3">
      <c r="C670" s="12"/>
    </row>
    <row r="671" spans="3:3" ht="15.75" customHeight="1" x14ac:dyDescent="0.3">
      <c r="C671" s="12"/>
    </row>
    <row r="672" spans="3:3" ht="15.75" customHeight="1" x14ac:dyDescent="0.3">
      <c r="C672" s="12"/>
    </row>
    <row r="673" spans="3:3" ht="15.75" customHeight="1" x14ac:dyDescent="0.3">
      <c r="C673" s="12"/>
    </row>
    <row r="674" spans="3:3" ht="15.75" customHeight="1" x14ac:dyDescent="0.3">
      <c r="C674" s="12"/>
    </row>
    <row r="675" spans="3:3" ht="15.75" customHeight="1" x14ac:dyDescent="0.3">
      <c r="C675" s="12"/>
    </row>
    <row r="676" spans="3:3" ht="15.75" customHeight="1" x14ac:dyDescent="0.3">
      <c r="C676" s="12"/>
    </row>
    <row r="677" spans="3:3" ht="15.75" customHeight="1" x14ac:dyDescent="0.3">
      <c r="C677" s="12"/>
    </row>
    <row r="678" spans="3:3" ht="15.75" customHeight="1" x14ac:dyDescent="0.3">
      <c r="C678" s="12"/>
    </row>
    <row r="679" spans="3:3" ht="15.75" customHeight="1" x14ac:dyDescent="0.3">
      <c r="C679" s="12"/>
    </row>
    <row r="680" spans="3:3" ht="15.75" customHeight="1" x14ac:dyDescent="0.3">
      <c r="C680" s="12"/>
    </row>
    <row r="681" spans="3:3" ht="15.75" customHeight="1" x14ac:dyDescent="0.3">
      <c r="C681" s="12"/>
    </row>
    <row r="682" spans="3:3" ht="15.75" customHeight="1" x14ac:dyDescent="0.3">
      <c r="C682" s="12"/>
    </row>
    <row r="683" spans="3:3" ht="15.75" customHeight="1" x14ac:dyDescent="0.3">
      <c r="C683" s="12"/>
    </row>
    <row r="684" spans="3:3" ht="15.75" customHeight="1" x14ac:dyDescent="0.3">
      <c r="C684" s="12"/>
    </row>
    <row r="685" spans="3:3" ht="15.75" customHeight="1" x14ac:dyDescent="0.3">
      <c r="C685" s="12"/>
    </row>
    <row r="686" spans="3:3" ht="15.75" customHeight="1" x14ac:dyDescent="0.3">
      <c r="C686" s="12"/>
    </row>
    <row r="687" spans="3:3" ht="15.75" customHeight="1" x14ac:dyDescent="0.3">
      <c r="C687" s="12"/>
    </row>
    <row r="688" spans="3:3" ht="15.75" customHeight="1" x14ac:dyDescent="0.3">
      <c r="C688" s="12"/>
    </row>
    <row r="689" spans="3:3" ht="15.75" customHeight="1" x14ac:dyDescent="0.3">
      <c r="C689" s="12"/>
    </row>
    <row r="690" spans="3:3" ht="15.75" customHeight="1" x14ac:dyDescent="0.3">
      <c r="C690" s="12"/>
    </row>
    <row r="691" spans="3:3" ht="15.75" customHeight="1" x14ac:dyDescent="0.3">
      <c r="C691" s="12"/>
    </row>
    <row r="692" spans="3:3" ht="15.75" customHeight="1" x14ac:dyDescent="0.3">
      <c r="C692" s="12"/>
    </row>
    <row r="693" spans="3:3" ht="15.75" customHeight="1" x14ac:dyDescent="0.3">
      <c r="C693" s="12"/>
    </row>
    <row r="694" spans="3:3" ht="15.75" customHeight="1" x14ac:dyDescent="0.3">
      <c r="C694" s="12"/>
    </row>
    <row r="695" spans="3:3" ht="15.75" customHeight="1" x14ac:dyDescent="0.3">
      <c r="C695" s="12"/>
    </row>
    <row r="696" spans="3:3" ht="15.75" customHeight="1" x14ac:dyDescent="0.3">
      <c r="C696" s="12"/>
    </row>
    <row r="697" spans="3:3" ht="15.75" customHeight="1" x14ac:dyDescent="0.3">
      <c r="C697" s="12"/>
    </row>
    <row r="698" spans="3:3" ht="15.75" customHeight="1" x14ac:dyDescent="0.3">
      <c r="C698" s="12"/>
    </row>
    <row r="699" spans="3:3" ht="15.75" customHeight="1" x14ac:dyDescent="0.3">
      <c r="C699" s="12"/>
    </row>
    <row r="700" spans="3:3" ht="15.75" customHeight="1" x14ac:dyDescent="0.3">
      <c r="C700" s="12"/>
    </row>
    <row r="701" spans="3:3" ht="15.75" customHeight="1" x14ac:dyDescent="0.3">
      <c r="C701" s="12"/>
    </row>
    <row r="702" spans="3:3" ht="15.75" customHeight="1" x14ac:dyDescent="0.3">
      <c r="C702" s="12"/>
    </row>
    <row r="703" spans="3:3" ht="15.75" customHeight="1" x14ac:dyDescent="0.3">
      <c r="C703" s="12"/>
    </row>
    <row r="704" spans="3:3" ht="15.75" customHeight="1" x14ac:dyDescent="0.3">
      <c r="C704" s="12"/>
    </row>
    <row r="705" spans="3:3" ht="15.75" customHeight="1" x14ac:dyDescent="0.3">
      <c r="C705" s="12"/>
    </row>
    <row r="706" spans="3:3" ht="15.75" customHeight="1" x14ac:dyDescent="0.3">
      <c r="C706" s="12"/>
    </row>
    <row r="707" spans="3:3" ht="15.75" customHeight="1" x14ac:dyDescent="0.3">
      <c r="C707" s="12"/>
    </row>
    <row r="708" spans="3:3" ht="15.75" customHeight="1" x14ac:dyDescent="0.3">
      <c r="C708" s="12"/>
    </row>
    <row r="709" spans="3:3" ht="15.75" customHeight="1" x14ac:dyDescent="0.3">
      <c r="C709" s="12"/>
    </row>
    <row r="710" spans="3:3" ht="15.75" customHeight="1" x14ac:dyDescent="0.3">
      <c r="C710" s="12"/>
    </row>
    <row r="711" spans="3:3" ht="15.75" customHeight="1" x14ac:dyDescent="0.3">
      <c r="C711" s="12"/>
    </row>
    <row r="712" spans="3:3" ht="15.75" customHeight="1" x14ac:dyDescent="0.3">
      <c r="C712" s="12"/>
    </row>
    <row r="713" spans="3:3" ht="15.75" customHeight="1" x14ac:dyDescent="0.3">
      <c r="C713" s="12"/>
    </row>
    <row r="714" spans="3:3" ht="15.75" customHeight="1" x14ac:dyDescent="0.3">
      <c r="C714" s="12"/>
    </row>
    <row r="715" spans="3:3" ht="15.75" customHeight="1" x14ac:dyDescent="0.3">
      <c r="C715" s="12"/>
    </row>
    <row r="716" spans="3:3" ht="15.75" customHeight="1" x14ac:dyDescent="0.3">
      <c r="C716" s="12"/>
    </row>
    <row r="717" spans="3:3" ht="15.75" customHeight="1" x14ac:dyDescent="0.3">
      <c r="C717" s="12"/>
    </row>
    <row r="718" spans="3:3" ht="15.75" customHeight="1" x14ac:dyDescent="0.3">
      <c r="C718" s="12"/>
    </row>
    <row r="719" spans="3:3" ht="15.75" customHeight="1" x14ac:dyDescent="0.3">
      <c r="C719" s="12"/>
    </row>
    <row r="720" spans="3:3" ht="15.75" customHeight="1" x14ac:dyDescent="0.3">
      <c r="C720" s="12"/>
    </row>
    <row r="721" spans="3:3" ht="15.75" customHeight="1" x14ac:dyDescent="0.3">
      <c r="C721" s="12"/>
    </row>
    <row r="722" spans="3:3" ht="15.75" customHeight="1" x14ac:dyDescent="0.3">
      <c r="C722" s="12"/>
    </row>
    <row r="723" spans="3:3" ht="15.75" customHeight="1" x14ac:dyDescent="0.3">
      <c r="C723" s="12"/>
    </row>
    <row r="724" spans="3:3" ht="15.75" customHeight="1" x14ac:dyDescent="0.3">
      <c r="C724" s="12"/>
    </row>
    <row r="725" spans="3:3" ht="15.75" customHeight="1" x14ac:dyDescent="0.3">
      <c r="C725" s="12"/>
    </row>
    <row r="726" spans="3:3" ht="15.75" customHeight="1" x14ac:dyDescent="0.3">
      <c r="C726" s="12"/>
    </row>
    <row r="727" spans="3:3" ht="15.75" customHeight="1" x14ac:dyDescent="0.3">
      <c r="C727" s="12"/>
    </row>
    <row r="728" spans="3:3" ht="15.75" customHeight="1" x14ac:dyDescent="0.3">
      <c r="C728" s="12"/>
    </row>
    <row r="729" spans="3:3" ht="15.75" customHeight="1" x14ac:dyDescent="0.3">
      <c r="C729" s="12"/>
    </row>
    <row r="730" spans="3:3" ht="15.75" customHeight="1" x14ac:dyDescent="0.3">
      <c r="C730" s="12"/>
    </row>
    <row r="731" spans="3:3" ht="15.75" customHeight="1" x14ac:dyDescent="0.3">
      <c r="C731" s="12"/>
    </row>
    <row r="732" spans="3:3" ht="15.75" customHeight="1" x14ac:dyDescent="0.3">
      <c r="C732" s="12"/>
    </row>
    <row r="733" spans="3:3" ht="15.75" customHeight="1" x14ac:dyDescent="0.3">
      <c r="C733" s="12"/>
    </row>
    <row r="734" spans="3:3" ht="15.75" customHeight="1" x14ac:dyDescent="0.3">
      <c r="C734" s="12"/>
    </row>
    <row r="735" spans="3:3" ht="15.75" customHeight="1" x14ac:dyDescent="0.3">
      <c r="C735" s="12"/>
    </row>
    <row r="736" spans="3:3" ht="15.75" customHeight="1" x14ac:dyDescent="0.3">
      <c r="C736" s="12"/>
    </row>
    <row r="737" spans="3:3" ht="15.75" customHeight="1" x14ac:dyDescent="0.3">
      <c r="C737" s="12"/>
    </row>
    <row r="738" spans="3:3" ht="15.75" customHeight="1" x14ac:dyDescent="0.3">
      <c r="C738" s="12"/>
    </row>
    <row r="739" spans="3:3" ht="15.75" customHeight="1" x14ac:dyDescent="0.3">
      <c r="C739" s="12"/>
    </row>
    <row r="740" spans="3:3" ht="15.75" customHeight="1" x14ac:dyDescent="0.3">
      <c r="C740" s="12"/>
    </row>
    <row r="741" spans="3:3" ht="15.75" customHeight="1" x14ac:dyDescent="0.3">
      <c r="C741" s="12"/>
    </row>
    <row r="742" spans="3:3" ht="15.75" customHeight="1" x14ac:dyDescent="0.3">
      <c r="C742" s="12"/>
    </row>
    <row r="743" spans="3:3" ht="15.75" customHeight="1" x14ac:dyDescent="0.3">
      <c r="C743" s="12"/>
    </row>
    <row r="744" spans="3:3" ht="15.75" customHeight="1" x14ac:dyDescent="0.3">
      <c r="C744" s="12"/>
    </row>
    <row r="745" spans="3:3" ht="15.75" customHeight="1" x14ac:dyDescent="0.3">
      <c r="C745" s="12"/>
    </row>
    <row r="746" spans="3:3" ht="15.75" customHeight="1" x14ac:dyDescent="0.3">
      <c r="C746" s="12"/>
    </row>
    <row r="747" spans="3:3" ht="15.75" customHeight="1" x14ac:dyDescent="0.3">
      <c r="C747" s="12"/>
    </row>
    <row r="748" spans="3:3" ht="15.75" customHeight="1" x14ac:dyDescent="0.3">
      <c r="C748" s="12"/>
    </row>
    <row r="749" spans="3:3" ht="15.75" customHeight="1" x14ac:dyDescent="0.3">
      <c r="C749" s="12"/>
    </row>
    <row r="750" spans="3:3" ht="15.75" customHeight="1" x14ac:dyDescent="0.3">
      <c r="C750" s="12"/>
    </row>
    <row r="751" spans="3:3" ht="15.75" customHeight="1" x14ac:dyDescent="0.3">
      <c r="C751" s="12"/>
    </row>
    <row r="752" spans="3:3" ht="15.75" customHeight="1" x14ac:dyDescent="0.3">
      <c r="C752" s="12"/>
    </row>
    <row r="753" spans="3:3" ht="15.75" customHeight="1" x14ac:dyDescent="0.3">
      <c r="C753" s="12"/>
    </row>
    <row r="754" spans="3:3" ht="15.75" customHeight="1" x14ac:dyDescent="0.3">
      <c r="C754" s="12"/>
    </row>
    <row r="755" spans="3:3" ht="15.75" customHeight="1" x14ac:dyDescent="0.3">
      <c r="C755" s="12"/>
    </row>
    <row r="756" spans="3:3" ht="15.75" customHeight="1" x14ac:dyDescent="0.3">
      <c r="C756" s="12"/>
    </row>
    <row r="757" spans="3:3" ht="15.75" customHeight="1" x14ac:dyDescent="0.3">
      <c r="C757" s="12"/>
    </row>
    <row r="758" spans="3:3" ht="15.75" customHeight="1" x14ac:dyDescent="0.3">
      <c r="C758" s="12"/>
    </row>
    <row r="759" spans="3:3" ht="15.75" customHeight="1" x14ac:dyDescent="0.3">
      <c r="C759" s="12"/>
    </row>
    <row r="760" spans="3:3" ht="15.75" customHeight="1" x14ac:dyDescent="0.3">
      <c r="C760" s="12"/>
    </row>
    <row r="761" spans="3:3" ht="15.75" customHeight="1" x14ac:dyDescent="0.3">
      <c r="C761" s="12"/>
    </row>
    <row r="762" spans="3:3" ht="15.75" customHeight="1" x14ac:dyDescent="0.3">
      <c r="C762" s="12"/>
    </row>
    <row r="763" spans="3:3" ht="15.75" customHeight="1" x14ac:dyDescent="0.3">
      <c r="C763" s="12"/>
    </row>
    <row r="764" spans="3:3" ht="15.75" customHeight="1" x14ac:dyDescent="0.3">
      <c r="C764" s="12"/>
    </row>
    <row r="765" spans="3:3" ht="15.75" customHeight="1" x14ac:dyDescent="0.3">
      <c r="C765" s="12"/>
    </row>
    <row r="766" spans="3:3" ht="15.75" customHeight="1" x14ac:dyDescent="0.3">
      <c r="C766" s="12"/>
    </row>
    <row r="767" spans="3:3" ht="15.75" customHeight="1" x14ac:dyDescent="0.3">
      <c r="C767" s="12"/>
    </row>
    <row r="768" spans="3:3" ht="15.75" customHeight="1" x14ac:dyDescent="0.3">
      <c r="C768" s="12"/>
    </row>
    <row r="769" spans="3:3" ht="15.75" customHeight="1" x14ac:dyDescent="0.3">
      <c r="C769" s="12"/>
    </row>
    <row r="770" spans="3:3" ht="15.75" customHeight="1" x14ac:dyDescent="0.3">
      <c r="C770" s="12"/>
    </row>
    <row r="771" spans="3:3" ht="15.75" customHeight="1" x14ac:dyDescent="0.3">
      <c r="C771" s="12"/>
    </row>
    <row r="772" spans="3:3" ht="15.75" customHeight="1" x14ac:dyDescent="0.3">
      <c r="C772" s="12"/>
    </row>
    <row r="773" spans="3:3" ht="15.75" customHeight="1" x14ac:dyDescent="0.3">
      <c r="C773" s="12"/>
    </row>
    <row r="774" spans="3:3" ht="15.75" customHeight="1" x14ac:dyDescent="0.3">
      <c r="C774" s="12"/>
    </row>
    <row r="775" spans="3:3" ht="15.75" customHeight="1" x14ac:dyDescent="0.3">
      <c r="C775" s="12"/>
    </row>
    <row r="776" spans="3:3" ht="15.75" customHeight="1" x14ac:dyDescent="0.3">
      <c r="C776" s="12"/>
    </row>
    <row r="777" spans="3:3" ht="15.75" customHeight="1" x14ac:dyDescent="0.3">
      <c r="C777" s="12"/>
    </row>
    <row r="778" spans="3:3" ht="15.75" customHeight="1" x14ac:dyDescent="0.3">
      <c r="C778" s="12"/>
    </row>
    <row r="779" spans="3:3" ht="15.75" customHeight="1" x14ac:dyDescent="0.3">
      <c r="C779" s="12"/>
    </row>
    <row r="780" spans="3:3" ht="15.75" customHeight="1" x14ac:dyDescent="0.3">
      <c r="C780" s="12"/>
    </row>
    <row r="781" spans="3:3" ht="15.75" customHeight="1" x14ac:dyDescent="0.3">
      <c r="C781" s="12"/>
    </row>
    <row r="782" spans="3:3" ht="15.75" customHeight="1" x14ac:dyDescent="0.3">
      <c r="C782" s="12"/>
    </row>
    <row r="783" spans="3:3" ht="15.75" customHeight="1" x14ac:dyDescent="0.3">
      <c r="C783" s="12"/>
    </row>
    <row r="784" spans="3:3" ht="15.75" customHeight="1" x14ac:dyDescent="0.3">
      <c r="C784" s="12"/>
    </row>
    <row r="785" spans="3:3" ht="15.75" customHeight="1" x14ac:dyDescent="0.3">
      <c r="C785" s="12"/>
    </row>
    <row r="786" spans="3:3" ht="15.75" customHeight="1" x14ac:dyDescent="0.3">
      <c r="C786" s="12"/>
    </row>
    <row r="787" spans="3:3" ht="15.75" customHeight="1" x14ac:dyDescent="0.3">
      <c r="C787" s="12"/>
    </row>
    <row r="788" spans="3:3" ht="15.75" customHeight="1" x14ac:dyDescent="0.3">
      <c r="C788" s="12"/>
    </row>
    <row r="789" spans="3:3" ht="15.75" customHeight="1" x14ac:dyDescent="0.3">
      <c r="C789" s="12"/>
    </row>
    <row r="790" spans="3:3" ht="15.75" customHeight="1" x14ac:dyDescent="0.3">
      <c r="C790" s="12"/>
    </row>
    <row r="791" spans="3:3" ht="15.75" customHeight="1" x14ac:dyDescent="0.3">
      <c r="C791" s="12"/>
    </row>
    <row r="792" spans="3:3" ht="15.75" customHeight="1" x14ac:dyDescent="0.3">
      <c r="C792" s="12"/>
    </row>
    <row r="793" spans="3:3" ht="15.75" customHeight="1" x14ac:dyDescent="0.3">
      <c r="C793" s="12"/>
    </row>
    <row r="794" spans="3:3" ht="15.75" customHeight="1" x14ac:dyDescent="0.3">
      <c r="C794" s="12"/>
    </row>
    <row r="795" spans="3:3" ht="15.75" customHeight="1" x14ac:dyDescent="0.3">
      <c r="C795" s="12"/>
    </row>
    <row r="796" spans="3:3" ht="15.75" customHeight="1" x14ac:dyDescent="0.3">
      <c r="C796" s="12"/>
    </row>
    <row r="797" spans="3:3" ht="15.75" customHeight="1" x14ac:dyDescent="0.3">
      <c r="C797" s="12"/>
    </row>
    <row r="798" spans="3:3" ht="15.75" customHeight="1" x14ac:dyDescent="0.3">
      <c r="C798" s="12"/>
    </row>
    <row r="799" spans="3:3" ht="15.75" customHeight="1" x14ac:dyDescent="0.3">
      <c r="C799" s="12"/>
    </row>
    <row r="800" spans="3:3" ht="15.75" customHeight="1" x14ac:dyDescent="0.3">
      <c r="C800" s="12"/>
    </row>
    <row r="801" spans="3:3" ht="15.75" customHeight="1" x14ac:dyDescent="0.3">
      <c r="C801" s="12"/>
    </row>
    <row r="802" spans="3:3" ht="15.75" customHeight="1" x14ac:dyDescent="0.3">
      <c r="C802" s="12"/>
    </row>
    <row r="803" spans="3:3" ht="15.75" customHeight="1" x14ac:dyDescent="0.3">
      <c r="C803" s="12"/>
    </row>
    <row r="804" spans="3:3" ht="15.75" customHeight="1" x14ac:dyDescent="0.3">
      <c r="C804" s="12"/>
    </row>
    <row r="805" spans="3:3" ht="15.75" customHeight="1" x14ac:dyDescent="0.3">
      <c r="C805" s="12"/>
    </row>
    <row r="806" spans="3:3" ht="15.75" customHeight="1" x14ac:dyDescent="0.3">
      <c r="C806" s="12"/>
    </row>
    <row r="807" spans="3:3" ht="15.75" customHeight="1" x14ac:dyDescent="0.3">
      <c r="C807" s="12"/>
    </row>
    <row r="808" spans="3:3" ht="15.75" customHeight="1" x14ac:dyDescent="0.3">
      <c r="C808" s="12"/>
    </row>
    <row r="809" spans="3:3" ht="15.75" customHeight="1" x14ac:dyDescent="0.3">
      <c r="C809" s="12"/>
    </row>
    <row r="810" spans="3:3" ht="15.75" customHeight="1" x14ac:dyDescent="0.3">
      <c r="C810" s="12"/>
    </row>
    <row r="811" spans="3:3" ht="15.75" customHeight="1" x14ac:dyDescent="0.3">
      <c r="C811" s="12"/>
    </row>
    <row r="812" spans="3:3" ht="15.75" customHeight="1" x14ac:dyDescent="0.3">
      <c r="C812" s="12"/>
    </row>
    <row r="813" spans="3:3" ht="15.75" customHeight="1" x14ac:dyDescent="0.3">
      <c r="C813" s="12"/>
    </row>
    <row r="814" spans="3:3" ht="15.75" customHeight="1" x14ac:dyDescent="0.3">
      <c r="C814" s="12"/>
    </row>
    <row r="815" spans="3:3" ht="15.75" customHeight="1" x14ac:dyDescent="0.3">
      <c r="C815" s="12"/>
    </row>
    <row r="816" spans="3:3" ht="15.75" customHeight="1" x14ac:dyDescent="0.3">
      <c r="C816" s="12"/>
    </row>
    <row r="817" spans="3:3" ht="15.75" customHeight="1" x14ac:dyDescent="0.3">
      <c r="C817" s="12"/>
    </row>
    <row r="818" spans="3:3" ht="15.75" customHeight="1" x14ac:dyDescent="0.3">
      <c r="C818" s="12"/>
    </row>
    <row r="819" spans="3:3" ht="15.75" customHeight="1" x14ac:dyDescent="0.3">
      <c r="C819" s="12"/>
    </row>
    <row r="820" spans="3:3" ht="15.75" customHeight="1" x14ac:dyDescent="0.3">
      <c r="C820" s="12"/>
    </row>
    <row r="821" spans="3:3" ht="15.75" customHeight="1" x14ac:dyDescent="0.3">
      <c r="C821" s="12"/>
    </row>
    <row r="822" spans="3:3" ht="15.75" customHeight="1" x14ac:dyDescent="0.3">
      <c r="C822" s="12"/>
    </row>
    <row r="823" spans="3:3" ht="15.75" customHeight="1" x14ac:dyDescent="0.3">
      <c r="C823" s="12"/>
    </row>
    <row r="824" spans="3:3" ht="15.75" customHeight="1" x14ac:dyDescent="0.3">
      <c r="C824" s="12"/>
    </row>
    <row r="825" spans="3:3" ht="15.75" customHeight="1" x14ac:dyDescent="0.3">
      <c r="C825" s="12"/>
    </row>
    <row r="826" spans="3:3" ht="15.75" customHeight="1" x14ac:dyDescent="0.3">
      <c r="C826" s="12"/>
    </row>
    <row r="827" spans="3:3" ht="15.75" customHeight="1" x14ac:dyDescent="0.3">
      <c r="C827" s="12"/>
    </row>
    <row r="828" spans="3:3" ht="15.75" customHeight="1" x14ac:dyDescent="0.3">
      <c r="C828" s="12"/>
    </row>
    <row r="829" spans="3:3" ht="15.75" customHeight="1" x14ac:dyDescent="0.3">
      <c r="C829" s="12"/>
    </row>
    <row r="830" spans="3:3" ht="15.75" customHeight="1" x14ac:dyDescent="0.3">
      <c r="C830" s="12"/>
    </row>
    <row r="831" spans="3:3" ht="15.75" customHeight="1" x14ac:dyDescent="0.3">
      <c r="C831" s="12"/>
    </row>
    <row r="832" spans="3:3" ht="15.75" customHeight="1" x14ac:dyDescent="0.3">
      <c r="C832" s="12"/>
    </row>
    <row r="833" spans="3:3" ht="15.75" customHeight="1" x14ac:dyDescent="0.3">
      <c r="C833" s="12"/>
    </row>
    <row r="834" spans="3:3" ht="15.75" customHeight="1" x14ac:dyDescent="0.3">
      <c r="C834" s="12"/>
    </row>
    <row r="835" spans="3:3" ht="15.75" customHeight="1" x14ac:dyDescent="0.3">
      <c r="C835" s="12"/>
    </row>
    <row r="836" spans="3:3" ht="15.75" customHeight="1" x14ac:dyDescent="0.3">
      <c r="C836" s="12"/>
    </row>
    <row r="837" spans="3:3" ht="15.75" customHeight="1" x14ac:dyDescent="0.3">
      <c r="C837" s="12"/>
    </row>
    <row r="838" spans="3:3" ht="15.75" customHeight="1" x14ac:dyDescent="0.3">
      <c r="C838" s="12"/>
    </row>
    <row r="839" spans="3:3" ht="15.75" customHeight="1" x14ac:dyDescent="0.3">
      <c r="C839" s="12"/>
    </row>
    <row r="840" spans="3:3" ht="15.75" customHeight="1" x14ac:dyDescent="0.3">
      <c r="C840" s="12"/>
    </row>
    <row r="841" spans="3:3" ht="15.75" customHeight="1" x14ac:dyDescent="0.3">
      <c r="C841" s="12"/>
    </row>
    <row r="842" spans="3:3" ht="15.75" customHeight="1" x14ac:dyDescent="0.3">
      <c r="C842" s="12"/>
    </row>
    <row r="843" spans="3:3" ht="15.75" customHeight="1" x14ac:dyDescent="0.3">
      <c r="C843" s="12"/>
    </row>
    <row r="844" spans="3:3" ht="15.75" customHeight="1" x14ac:dyDescent="0.3">
      <c r="C844" s="12"/>
    </row>
    <row r="845" spans="3:3" ht="15.75" customHeight="1" x14ac:dyDescent="0.3">
      <c r="C845" s="12"/>
    </row>
    <row r="846" spans="3:3" ht="15.75" customHeight="1" x14ac:dyDescent="0.3">
      <c r="C846" s="12"/>
    </row>
    <row r="847" spans="3:3" ht="15.75" customHeight="1" x14ac:dyDescent="0.3">
      <c r="C847" s="12"/>
    </row>
    <row r="848" spans="3:3" ht="15.75" customHeight="1" x14ac:dyDescent="0.3">
      <c r="C848" s="12"/>
    </row>
    <row r="849" spans="3:3" ht="15.75" customHeight="1" x14ac:dyDescent="0.3">
      <c r="C849" s="12"/>
    </row>
    <row r="850" spans="3:3" ht="15.75" customHeight="1" x14ac:dyDescent="0.3">
      <c r="C850" s="12"/>
    </row>
    <row r="851" spans="3:3" ht="15.75" customHeight="1" x14ac:dyDescent="0.3">
      <c r="C851" s="12"/>
    </row>
    <row r="852" spans="3:3" ht="15.75" customHeight="1" x14ac:dyDescent="0.3">
      <c r="C852" s="12"/>
    </row>
    <row r="853" spans="3:3" ht="15.75" customHeight="1" x14ac:dyDescent="0.3">
      <c r="C853" s="12"/>
    </row>
    <row r="854" spans="3:3" ht="15.75" customHeight="1" x14ac:dyDescent="0.3">
      <c r="C854" s="12"/>
    </row>
    <row r="855" spans="3:3" ht="15.75" customHeight="1" x14ac:dyDescent="0.3">
      <c r="C855" s="12"/>
    </row>
    <row r="856" spans="3:3" ht="15.75" customHeight="1" x14ac:dyDescent="0.3">
      <c r="C856" s="12"/>
    </row>
    <row r="857" spans="3:3" ht="15.75" customHeight="1" x14ac:dyDescent="0.3">
      <c r="C857" s="12"/>
    </row>
    <row r="858" spans="3:3" ht="15.75" customHeight="1" x14ac:dyDescent="0.3">
      <c r="C858" s="12"/>
    </row>
    <row r="859" spans="3:3" ht="15.75" customHeight="1" x14ac:dyDescent="0.3">
      <c r="C859" s="12"/>
    </row>
    <row r="860" spans="3:3" ht="15.75" customHeight="1" x14ac:dyDescent="0.3">
      <c r="C860" s="12"/>
    </row>
    <row r="861" spans="3:3" ht="15.75" customHeight="1" x14ac:dyDescent="0.3">
      <c r="C861" s="12"/>
    </row>
    <row r="862" spans="3:3" ht="15.75" customHeight="1" x14ac:dyDescent="0.3">
      <c r="C862" s="12"/>
    </row>
    <row r="863" spans="3:3" ht="15.75" customHeight="1" x14ac:dyDescent="0.3">
      <c r="C863" s="12"/>
    </row>
    <row r="864" spans="3:3" ht="15.75" customHeight="1" x14ac:dyDescent="0.3">
      <c r="C864" s="12"/>
    </row>
    <row r="865" spans="3:3" ht="15.75" customHeight="1" x14ac:dyDescent="0.3">
      <c r="C865" s="12"/>
    </row>
    <row r="866" spans="3:3" ht="15.75" customHeight="1" x14ac:dyDescent="0.3">
      <c r="C866" s="12"/>
    </row>
    <row r="867" spans="3:3" ht="15.75" customHeight="1" x14ac:dyDescent="0.3">
      <c r="C867" s="12"/>
    </row>
    <row r="868" spans="3:3" ht="15.75" customHeight="1" x14ac:dyDescent="0.3">
      <c r="C868" s="12"/>
    </row>
    <row r="869" spans="3:3" ht="15.75" customHeight="1" x14ac:dyDescent="0.3">
      <c r="C869" s="12"/>
    </row>
    <row r="870" spans="3:3" ht="15.75" customHeight="1" x14ac:dyDescent="0.3">
      <c r="C870" s="12"/>
    </row>
    <row r="871" spans="3:3" ht="15.75" customHeight="1" x14ac:dyDescent="0.3">
      <c r="C871" s="12"/>
    </row>
    <row r="872" spans="3:3" ht="15.75" customHeight="1" x14ac:dyDescent="0.3">
      <c r="C872" s="12"/>
    </row>
    <row r="873" spans="3:3" ht="15.75" customHeight="1" x14ac:dyDescent="0.3">
      <c r="C873" s="12"/>
    </row>
    <row r="874" spans="3:3" ht="15.75" customHeight="1" x14ac:dyDescent="0.3">
      <c r="C874" s="12"/>
    </row>
    <row r="875" spans="3:3" ht="15.75" customHeight="1" x14ac:dyDescent="0.3">
      <c r="C875" s="12"/>
    </row>
    <row r="876" spans="3:3" ht="15.75" customHeight="1" x14ac:dyDescent="0.3">
      <c r="C876" s="12"/>
    </row>
    <row r="877" spans="3:3" ht="15.75" customHeight="1" x14ac:dyDescent="0.3">
      <c r="C877" s="12"/>
    </row>
    <row r="878" spans="3:3" ht="15.75" customHeight="1" x14ac:dyDescent="0.3">
      <c r="C878" s="12"/>
    </row>
    <row r="879" spans="3:3" ht="15.75" customHeight="1" x14ac:dyDescent="0.3">
      <c r="C879" s="12"/>
    </row>
    <row r="880" spans="3:3" ht="15.75" customHeight="1" x14ac:dyDescent="0.3">
      <c r="C880" s="12"/>
    </row>
    <row r="881" spans="3:3" ht="15.75" customHeight="1" x14ac:dyDescent="0.3">
      <c r="C881" s="12"/>
    </row>
    <row r="882" spans="3:3" ht="15.75" customHeight="1" x14ac:dyDescent="0.3">
      <c r="C882" s="12"/>
    </row>
    <row r="883" spans="3:3" ht="15.75" customHeight="1" x14ac:dyDescent="0.3">
      <c r="C883" s="12"/>
    </row>
    <row r="884" spans="3:3" ht="15.75" customHeight="1" x14ac:dyDescent="0.3">
      <c r="C884" s="12"/>
    </row>
    <row r="885" spans="3:3" ht="15.75" customHeight="1" x14ac:dyDescent="0.3">
      <c r="C885" s="12"/>
    </row>
    <row r="886" spans="3:3" ht="15.75" customHeight="1" x14ac:dyDescent="0.3">
      <c r="C886" s="12"/>
    </row>
    <row r="887" spans="3:3" ht="15.75" customHeight="1" x14ac:dyDescent="0.3">
      <c r="C887" s="12"/>
    </row>
    <row r="888" spans="3:3" ht="15.75" customHeight="1" x14ac:dyDescent="0.3">
      <c r="C888" s="12"/>
    </row>
    <row r="889" spans="3:3" ht="15.75" customHeight="1" x14ac:dyDescent="0.3">
      <c r="C889" s="12"/>
    </row>
    <row r="890" spans="3:3" ht="15.75" customHeight="1" x14ac:dyDescent="0.3">
      <c r="C890" s="12"/>
    </row>
    <row r="891" spans="3:3" ht="15.75" customHeight="1" x14ac:dyDescent="0.3">
      <c r="C891" s="12"/>
    </row>
    <row r="892" spans="3:3" ht="15.75" customHeight="1" x14ac:dyDescent="0.3">
      <c r="C892" s="12"/>
    </row>
    <row r="893" spans="3:3" ht="15.75" customHeight="1" x14ac:dyDescent="0.3">
      <c r="C893" s="12"/>
    </row>
    <row r="894" spans="3:3" ht="15.75" customHeight="1" x14ac:dyDescent="0.3">
      <c r="C894" s="12"/>
    </row>
    <row r="895" spans="3:3" ht="15.75" customHeight="1" x14ac:dyDescent="0.3">
      <c r="C895" s="12"/>
    </row>
    <row r="896" spans="3:3" ht="15.75" customHeight="1" x14ac:dyDescent="0.3">
      <c r="C896" s="12"/>
    </row>
    <row r="897" spans="3:3" ht="15.75" customHeight="1" x14ac:dyDescent="0.3">
      <c r="C897" s="12"/>
    </row>
    <row r="898" spans="3:3" ht="15.75" customHeight="1" x14ac:dyDescent="0.3">
      <c r="C898" s="12"/>
    </row>
    <row r="899" spans="3:3" ht="15.75" customHeight="1" x14ac:dyDescent="0.3">
      <c r="C899" s="12"/>
    </row>
    <row r="900" spans="3:3" ht="15.75" customHeight="1" x14ac:dyDescent="0.3">
      <c r="C900" s="12"/>
    </row>
    <row r="901" spans="3:3" ht="15.75" customHeight="1" x14ac:dyDescent="0.3">
      <c r="C901" s="12"/>
    </row>
    <row r="902" spans="3:3" ht="15.75" customHeight="1" x14ac:dyDescent="0.3">
      <c r="C902" s="12"/>
    </row>
    <row r="903" spans="3:3" ht="15.75" customHeight="1" x14ac:dyDescent="0.3">
      <c r="C903" s="12"/>
    </row>
    <row r="904" spans="3:3" ht="15.75" customHeight="1" x14ac:dyDescent="0.3">
      <c r="C904" s="12"/>
    </row>
    <row r="905" spans="3:3" ht="15.75" customHeight="1" x14ac:dyDescent="0.3">
      <c r="C905" s="12"/>
    </row>
    <row r="906" spans="3:3" ht="15.75" customHeight="1" x14ac:dyDescent="0.3">
      <c r="C906" s="12"/>
    </row>
    <row r="907" spans="3:3" ht="15.75" customHeight="1" x14ac:dyDescent="0.3">
      <c r="C907" s="12"/>
    </row>
    <row r="908" spans="3:3" ht="15.75" customHeight="1" x14ac:dyDescent="0.3">
      <c r="C908" s="12"/>
    </row>
    <row r="909" spans="3:3" ht="15.75" customHeight="1" x14ac:dyDescent="0.3">
      <c r="C909" s="12"/>
    </row>
    <row r="910" spans="3:3" ht="15.75" customHeight="1" x14ac:dyDescent="0.3">
      <c r="C910" s="12"/>
    </row>
    <row r="911" spans="3:3" ht="15.75" customHeight="1" x14ac:dyDescent="0.3">
      <c r="C911" s="12"/>
    </row>
    <row r="912" spans="3:3" ht="15.75" customHeight="1" x14ac:dyDescent="0.3">
      <c r="C912" s="12"/>
    </row>
    <row r="913" spans="3:3" ht="15.75" customHeight="1" x14ac:dyDescent="0.3">
      <c r="C913" s="12"/>
    </row>
    <row r="914" spans="3:3" ht="15.75" customHeight="1" x14ac:dyDescent="0.3">
      <c r="C914" s="12"/>
    </row>
    <row r="915" spans="3:3" ht="15.75" customHeight="1" x14ac:dyDescent="0.3">
      <c r="C915" s="12"/>
    </row>
    <row r="916" spans="3:3" ht="15.75" customHeight="1" x14ac:dyDescent="0.3">
      <c r="C916" s="12"/>
    </row>
    <row r="917" spans="3:3" ht="15.75" customHeight="1" x14ac:dyDescent="0.3">
      <c r="C917" s="12"/>
    </row>
    <row r="918" spans="3:3" ht="15.75" customHeight="1" x14ac:dyDescent="0.3">
      <c r="C918" s="12"/>
    </row>
    <row r="919" spans="3:3" ht="15.75" customHeight="1" x14ac:dyDescent="0.3">
      <c r="C919" s="12"/>
    </row>
    <row r="920" spans="3:3" ht="15.75" customHeight="1" x14ac:dyDescent="0.3">
      <c r="C920" s="12"/>
    </row>
    <row r="921" spans="3:3" ht="15.75" customHeight="1" x14ac:dyDescent="0.3">
      <c r="C921" s="12"/>
    </row>
    <row r="922" spans="3:3" ht="15.75" customHeight="1" x14ac:dyDescent="0.3">
      <c r="C922" s="12"/>
    </row>
    <row r="923" spans="3:3" ht="15.75" customHeight="1" x14ac:dyDescent="0.3">
      <c r="C923" s="12"/>
    </row>
    <row r="924" spans="3:3" ht="15.75" customHeight="1" x14ac:dyDescent="0.3">
      <c r="C924" s="12"/>
    </row>
    <row r="925" spans="3:3" ht="15.75" customHeight="1" x14ac:dyDescent="0.3">
      <c r="C925" s="12"/>
    </row>
    <row r="926" spans="3:3" ht="15.75" customHeight="1" x14ac:dyDescent="0.3">
      <c r="C926" s="12"/>
    </row>
    <row r="927" spans="3:3" ht="15.75" customHeight="1" x14ac:dyDescent="0.3">
      <c r="C927" s="12"/>
    </row>
    <row r="928" spans="3:3" ht="15.75" customHeight="1" x14ac:dyDescent="0.3">
      <c r="C928" s="12"/>
    </row>
    <row r="929" spans="3:3" ht="15.75" customHeight="1" x14ac:dyDescent="0.3">
      <c r="C929" s="12"/>
    </row>
    <row r="930" spans="3:3" ht="15.75" customHeight="1" x14ac:dyDescent="0.3">
      <c r="C930" s="12"/>
    </row>
    <row r="931" spans="3:3" ht="15.75" customHeight="1" x14ac:dyDescent="0.3">
      <c r="C931" s="12"/>
    </row>
    <row r="932" spans="3:3" ht="15.75" customHeight="1" x14ac:dyDescent="0.3">
      <c r="C932" s="12"/>
    </row>
    <row r="933" spans="3:3" ht="15.75" customHeight="1" x14ac:dyDescent="0.3">
      <c r="C933" s="12"/>
    </row>
    <row r="934" spans="3:3" ht="15.75" customHeight="1" x14ac:dyDescent="0.3">
      <c r="C934" s="12"/>
    </row>
    <row r="935" spans="3:3" ht="15.75" customHeight="1" x14ac:dyDescent="0.3">
      <c r="C935" s="12"/>
    </row>
    <row r="936" spans="3:3" ht="15.75" customHeight="1" x14ac:dyDescent="0.3">
      <c r="C936" s="12"/>
    </row>
    <row r="937" spans="3:3" ht="15.75" customHeight="1" x14ac:dyDescent="0.3">
      <c r="C937" s="12"/>
    </row>
    <row r="938" spans="3:3" ht="15.75" customHeight="1" x14ac:dyDescent="0.3">
      <c r="C938" s="12"/>
    </row>
    <row r="939" spans="3:3" ht="15.75" customHeight="1" x14ac:dyDescent="0.3">
      <c r="C939" s="12"/>
    </row>
    <row r="940" spans="3:3" ht="15.75" customHeight="1" x14ac:dyDescent="0.3">
      <c r="C940" s="12"/>
    </row>
    <row r="941" spans="3:3" ht="15.75" customHeight="1" x14ac:dyDescent="0.3">
      <c r="C941" s="12"/>
    </row>
    <row r="942" spans="3:3" ht="15.75" customHeight="1" x14ac:dyDescent="0.3">
      <c r="C942" s="12"/>
    </row>
    <row r="943" spans="3:3" ht="15.75" customHeight="1" x14ac:dyDescent="0.3">
      <c r="C943" s="12"/>
    </row>
    <row r="944" spans="3:3" ht="15.75" customHeight="1" x14ac:dyDescent="0.3">
      <c r="C944" s="12"/>
    </row>
    <row r="945" spans="3:3" ht="15.75" customHeight="1" x14ac:dyDescent="0.3">
      <c r="C945" s="12"/>
    </row>
    <row r="946" spans="3:3" ht="15.75" customHeight="1" x14ac:dyDescent="0.3">
      <c r="C946" s="12"/>
    </row>
    <row r="947" spans="3:3" ht="15.75" customHeight="1" x14ac:dyDescent="0.3">
      <c r="C947" s="12"/>
    </row>
    <row r="948" spans="3:3" ht="15.75" customHeight="1" x14ac:dyDescent="0.3">
      <c r="C948" s="12"/>
    </row>
    <row r="949" spans="3:3" ht="15.75" customHeight="1" x14ac:dyDescent="0.3">
      <c r="C949" s="12"/>
    </row>
    <row r="950" spans="3:3" ht="15.75" customHeight="1" x14ac:dyDescent="0.3">
      <c r="C950" s="12"/>
    </row>
    <row r="951" spans="3:3" ht="15.75" customHeight="1" x14ac:dyDescent="0.3">
      <c r="C951" s="12"/>
    </row>
    <row r="952" spans="3:3" ht="15.75" customHeight="1" x14ac:dyDescent="0.3">
      <c r="C952" s="12"/>
    </row>
    <row r="953" spans="3:3" ht="15.75" customHeight="1" x14ac:dyDescent="0.3">
      <c r="C953" s="12"/>
    </row>
    <row r="954" spans="3:3" ht="15.75" customHeight="1" x14ac:dyDescent="0.3">
      <c r="C954" s="12"/>
    </row>
    <row r="955" spans="3:3" ht="15.75" customHeight="1" x14ac:dyDescent="0.3">
      <c r="C955" s="12"/>
    </row>
    <row r="956" spans="3:3" ht="15.75" customHeight="1" x14ac:dyDescent="0.3">
      <c r="C956" s="12"/>
    </row>
    <row r="957" spans="3:3" ht="15.75" customHeight="1" x14ac:dyDescent="0.3">
      <c r="C957" s="12"/>
    </row>
    <row r="958" spans="3:3" ht="15.75" customHeight="1" x14ac:dyDescent="0.3">
      <c r="C958" s="12"/>
    </row>
    <row r="959" spans="3:3" ht="15.75" customHeight="1" x14ac:dyDescent="0.3">
      <c r="C959" s="12"/>
    </row>
    <row r="960" spans="3:3" ht="15.75" customHeight="1" x14ac:dyDescent="0.3">
      <c r="C960" s="12"/>
    </row>
    <row r="961" spans="3:3" ht="15.75" customHeight="1" x14ac:dyDescent="0.3">
      <c r="C961" s="12"/>
    </row>
    <row r="962" spans="3:3" ht="15.75" customHeight="1" x14ac:dyDescent="0.3">
      <c r="C962" s="12"/>
    </row>
    <row r="963" spans="3:3" ht="15.75" customHeight="1" x14ac:dyDescent="0.3">
      <c r="C963" s="12"/>
    </row>
    <row r="964" spans="3:3" ht="15.75" customHeight="1" x14ac:dyDescent="0.3">
      <c r="C964" s="12"/>
    </row>
    <row r="965" spans="3:3" ht="15.75" customHeight="1" x14ac:dyDescent="0.3">
      <c r="C965" s="12"/>
    </row>
    <row r="966" spans="3:3" ht="15.75" customHeight="1" x14ac:dyDescent="0.3">
      <c r="C966" s="12"/>
    </row>
    <row r="967" spans="3:3" ht="15.75" customHeight="1" x14ac:dyDescent="0.3">
      <c r="C967" s="12"/>
    </row>
    <row r="968" spans="3:3" ht="15.75" customHeight="1" x14ac:dyDescent="0.3">
      <c r="C968" s="12"/>
    </row>
    <row r="969" spans="3:3" ht="15.75" customHeight="1" x14ac:dyDescent="0.3">
      <c r="C969" s="12"/>
    </row>
    <row r="970" spans="3:3" ht="15.75" customHeight="1" x14ac:dyDescent="0.3">
      <c r="C970" s="12"/>
    </row>
    <row r="971" spans="3:3" ht="15.75" customHeight="1" x14ac:dyDescent="0.3">
      <c r="C971" s="12"/>
    </row>
    <row r="972" spans="3:3" ht="15.75" customHeight="1" x14ac:dyDescent="0.3">
      <c r="C972" s="12"/>
    </row>
    <row r="973" spans="3:3" ht="15.75" customHeight="1" x14ac:dyDescent="0.3">
      <c r="C973" s="12"/>
    </row>
    <row r="974" spans="3:3" ht="15.75" customHeight="1" x14ac:dyDescent="0.3">
      <c r="C974" s="12"/>
    </row>
    <row r="975" spans="3:3" ht="15.75" customHeight="1" x14ac:dyDescent="0.3">
      <c r="C975" s="12"/>
    </row>
    <row r="976" spans="3:3" ht="15.75" customHeight="1" x14ac:dyDescent="0.3">
      <c r="C976" s="12"/>
    </row>
    <row r="977" spans="3:3" ht="15.75" customHeight="1" x14ac:dyDescent="0.3">
      <c r="C977" s="12"/>
    </row>
    <row r="978" spans="3:3" ht="15.75" customHeight="1" x14ac:dyDescent="0.3">
      <c r="C978" s="12"/>
    </row>
    <row r="979" spans="3:3" ht="15.75" customHeight="1" x14ac:dyDescent="0.3">
      <c r="C979" s="12"/>
    </row>
    <row r="980" spans="3:3" ht="15.75" customHeight="1" x14ac:dyDescent="0.3">
      <c r="C980" s="12"/>
    </row>
    <row r="981" spans="3:3" ht="15.75" customHeight="1" x14ac:dyDescent="0.3">
      <c r="C981" s="12"/>
    </row>
    <row r="982" spans="3:3" ht="15.75" customHeight="1" x14ac:dyDescent="0.3">
      <c r="C982" s="12"/>
    </row>
    <row r="983" spans="3:3" ht="15.75" customHeight="1" x14ac:dyDescent="0.3">
      <c r="C983" s="12"/>
    </row>
    <row r="984" spans="3:3" ht="15.75" customHeight="1" x14ac:dyDescent="0.3">
      <c r="C984" s="12"/>
    </row>
    <row r="985" spans="3:3" ht="15.75" customHeight="1" x14ac:dyDescent="0.3">
      <c r="C985" s="12"/>
    </row>
    <row r="986" spans="3:3" ht="15.75" customHeight="1" x14ac:dyDescent="0.3">
      <c r="C986" s="12"/>
    </row>
    <row r="987" spans="3:3" ht="15.75" customHeight="1" x14ac:dyDescent="0.3">
      <c r="C987" s="12"/>
    </row>
    <row r="988" spans="3:3" ht="15.75" customHeight="1" x14ac:dyDescent="0.3">
      <c r="C988" s="12"/>
    </row>
    <row r="989" spans="3:3" ht="15.75" customHeight="1" x14ac:dyDescent="0.3">
      <c r="C989" s="12"/>
    </row>
    <row r="990" spans="3:3" ht="15.75" customHeight="1" x14ac:dyDescent="0.3">
      <c r="C990" s="12"/>
    </row>
    <row r="991" spans="3:3" ht="15.75" customHeight="1" x14ac:dyDescent="0.3">
      <c r="C991" s="12"/>
    </row>
    <row r="992" spans="3:3" ht="15.75" customHeight="1" x14ac:dyDescent="0.3">
      <c r="C992" s="12"/>
    </row>
    <row r="993" spans="3:3" ht="15.75" customHeight="1" x14ac:dyDescent="0.3">
      <c r="C993" s="12"/>
    </row>
    <row r="994" spans="3:3" ht="15.75" customHeight="1" x14ac:dyDescent="0.3">
      <c r="C994" s="12"/>
    </row>
    <row r="995" spans="3:3" ht="15.75" customHeight="1" x14ac:dyDescent="0.3">
      <c r="C995" s="12"/>
    </row>
    <row r="996" spans="3:3" ht="15.75" customHeight="1" x14ac:dyDescent="0.3">
      <c r="C996" s="12"/>
    </row>
    <row r="997" spans="3:3" ht="15.75" customHeight="1" x14ac:dyDescent="0.3">
      <c r="C997" s="12"/>
    </row>
    <row r="998" spans="3:3" ht="15.75" customHeight="1" x14ac:dyDescent="0.3">
      <c r="C998" s="12"/>
    </row>
    <row r="999" spans="3:3" ht="15.75" customHeight="1" x14ac:dyDescent="0.3">
      <c r="C999" s="12"/>
    </row>
    <row r="1000" spans="3:3" ht="15.75" customHeight="1" x14ac:dyDescent="0.3">
      <c r="C1000" s="12"/>
    </row>
  </sheetData>
  <mergeCells count="6">
    <mergeCell ref="Y38:AA38"/>
    <mergeCell ref="O1:U1"/>
    <mergeCell ref="A2:G2"/>
    <mergeCell ref="A3:I3"/>
    <mergeCell ref="U3:W3"/>
    <mergeCell ref="A4:G4"/>
  </mergeCells>
  <conditionalFormatting sqref="K7:K37">
    <cfRule type="cellIs" dxfId="60" priority="1" operator="greaterThan">
      <formula>449</formula>
    </cfRule>
  </conditionalFormatting>
  <conditionalFormatting sqref="L7:L37">
    <cfRule type="cellIs" dxfId="59" priority="2" operator="between">
      <formula>17</formula>
      <formula>24</formula>
    </cfRule>
  </conditionalFormatting>
  <conditionalFormatting sqref="J7:N37">
    <cfRule type="expression" dxfId="58" priority="3">
      <formula>ISERROR(J7)</formula>
    </cfRule>
  </conditionalFormatting>
  <conditionalFormatting sqref="M7:M37">
    <cfRule type="cellIs" dxfId="57" priority="4" operator="between">
      <formula>5.9</formula>
      <formula>10</formula>
    </cfRule>
  </conditionalFormatting>
  <conditionalFormatting sqref="J7:J37">
    <cfRule type="cellIs" dxfId="56" priority="5" operator="greaterThanOrEqual">
      <formula>13.1</formula>
    </cfRule>
  </conditionalFormatting>
  <conditionalFormatting sqref="U7:W38">
    <cfRule type="expression" dxfId="55" priority="6">
      <formula>ISERROR(U7)</formula>
    </cfRule>
  </conditionalFormatting>
  <conditionalFormatting sqref="G7:G37">
    <cfRule type="notContainsBlanks" dxfId="54" priority="7">
      <formula>LEN(TRIM(G7))&gt;0</formula>
    </cfRule>
  </conditionalFormatting>
  <conditionalFormatting sqref="D7:F37 C7:C17 C19:C37 B7:B37">
    <cfRule type="containsText" dxfId="53" priority="8" operator="containsText" text="ABSENT">
      <formula>NOT(ISERROR(SEARCH(("ABSENT"),(B7))))</formula>
    </cfRule>
  </conditionalFormatting>
  <conditionalFormatting sqref="B7:B37">
    <cfRule type="cellIs" dxfId="52" priority="9" operator="greaterThan">
      <formula>$S$4</formula>
    </cfRule>
  </conditionalFormatting>
  <conditionalFormatting sqref="B7:B37">
    <cfRule type="cellIs" dxfId="51" priority="10" operator="between">
      <formula>$K$4</formula>
      <formula>$S$4</formula>
    </cfRule>
  </conditionalFormatting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000"/>
  <sheetViews>
    <sheetView workbookViewId="0">
      <selection activeCell="A2" sqref="A2:G2"/>
    </sheetView>
  </sheetViews>
  <sheetFormatPr defaultColWidth="14.44140625" defaultRowHeight="15" customHeight="1" x14ac:dyDescent="0.3"/>
  <cols>
    <col min="1" max="1" width="7.33203125" customWidth="1"/>
    <col min="2" max="2" width="10.5546875" customWidth="1"/>
    <col min="3" max="4" width="11.44140625" customWidth="1"/>
    <col min="5" max="5" width="9.88671875" customWidth="1"/>
    <col min="6" max="6" width="7.88671875" customWidth="1"/>
    <col min="7" max="7" width="9.5546875" customWidth="1"/>
    <col min="8" max="9" width="9.88671875" customWidth="1"/>
    <col min="10" max="10" width="9.5546875" customWidth="1"/>
    <col min="11" max="11" width="9.6640625" customWidth="1"/>
    <col min="12" max="13" width="9.109375" customWidth="1"/>
    <col min="14" max="14" width="9.44140625" customWidth="1"/>
    <col min="15" max="19" width="9.109375" customWidth="1"/>
    <col min="20" max="20" width="15" customWidth="1"/>
    <col min="21" max="23" width="9.109375" customWidth="1"/>
    <col min="24" max="25" width="10.109375" customWidth="1"/>
    <col min="26" max="26" width="4" customWidth="1"/>
    <col min="27" max="27" width="3.88671875" customWidth="1"/>
    <col min="28" max="28" width="14.44140625" customWidth="1"/>
    <col min="29" max="29" width="5.88671875" customWidth="1"/>
  </cols>
  <sheetData>
    <row r="1" spans="1:29" ht="25.2" x14ac:dyDescent="0.6">
      <c r="A1" s="1" t="s">
        <v>77</v>
      </c>
      <c r="O1" s="99"/>
      <c r="P1" s="90"/>
      <c r="Q1" s="90"/>
      <c r="R1" s="90"/>
      <c r="S1" s="90"/>
      <c r="T1" s="90"/>
      <c r="U1" s="90"/>
    </row>
    <row r="2" spans="1:29" ht="15.6" x14ac:dyDescent="0.3">
      <c r="A2" s="89" t="s">
        <v>90</v>
      </c>
      <c r="B2" s="90"/>
      <c r="C2" s="90"/>
      <c r="D2" s="90"/>
      <c r="E2" s="90"/>
      <c r="F2" s="90"/>
      <c r="G2" s="90"/>
      <c r="H2" s="2"/>
      <c r="N2" s="3" t="s">
        <v>0</v>
      </c>
      <c r="O2" s="4" t="s">
        <v>1</v>
      </c>
      <c r="P2" s="4"/>
      <c r="Q2" s="4"/>
      <c r="R2" s="4"/>
      <c r="S2" s="4"/>
    </row>
    <row r="3" spans="1:29" ht="14.4" x14ac:dyDescent="0.3">
      <c r="A3" s="100" t="s">
        <v>81</v>
      </c>
      <c r="B3" s="95"/>
      <c r="C3" s="95"/>
      <c r="D3" s="95"/>
      <c r="E3" s="95"/>
      <c r="F3" s="95"/>
      <c r="G3" s="95"/>
      <c r="H3" s="95"/>
      <c r="I3" s="96"/>
      <c r="J3" s="5">
        <v>0.72986111111111107</v>
      </c>
      <c r="K3" s="6">
        <v>0.31597222222222221</v>
      </c>
      <c r="L3" s="6">
        <v>0.70833333333333337</v>
      </c>
      <c r="M3" s="7" t="s">
        <v>2</v>
      </c>
      <c r="N3" s="8">
        <v>10000</v>
      </c>
      <c r="O3" s="74">
        <f>$N$3/30</f>
        <v>333.33333333333331</v>
      </c>
      <c r="P3" s="10">
        <f>($N$3/30)/8</f>
        <v>41.666666666666664</v>
      </c>
      <c r="Q3" s="11">
        <f>($N$3/30)/480</f>
        <v>0.69444444444444442</v>
      </c>
      <c r="R3" s="12">
        <v>0.5</v>
      </c>
      <c r="S3" s="5">
        <v>0.31944444444444448</v>
      </c>
      <c r="T3" s="13" t="s">
        <v>3</v>
      </c>
      <c r="U3" s="94" t="s">
        <v>4</v>
      </c>
      <c r="V3" s="95"/>
      <c r="W3" s="96"/>
      <c r="X3" s="14" t="s">
        <v>5</v>
      </c>
      <c r="Y3" s="15" t="s">
        <v>6</v>
      </c>
      <c r="Z3" s="16"/>
      <c r="AA3" s="17"/>
      <c r="AB3" s="18" t="s">
        <v>7</v>
      </c>
      <c r="AC3" s="19"/>
    </row>
    <row r="4" spans="1:29" ht="15.6" x14ac:dyDescent="0.3">
      <c r="A4" s="97" t="s">
        <v>82</v>
      </c>
      <c r="B4" s="90"/>
      <c r="C4" s="90"/>
      <c r="D4" s="90"/>
      <c r="E4" s="90"/>
      <c r="F4" s="90"/>
      <c r="G4" s="90"/>
      <c r="H4" s="20" t="s">
        <v>8</v>
      </c>
      <c r="I4" s="21"/>
      <c r="J4" s="22">
        <v>0.72916666666666663</v>
      </c>
      <c r="K4" s="5">
        <v>0.31666666666666665</v>
      </c>
      <c r="L4" s="23">
        <v>0.32361111111111113</v>
      </c>
      <c r="N4" s="24" t="s">
        <v>9</v>
      </c>
      <c r="O4" s="25" t="s">
        <v>10</v>
      </c>
      <c r="P4" s="25" t="s">
        <v>11</v>
      </c>
      <c r="Q4" s="26" t="s">
        <v>12</v>
      </c>
      <c r="R4" s="27" t="s">
        <v>13</v>
      </c>
      <c r="S4" s="23">
        <v>0.32291666666666669</v>
      </c>
      <c r="T4" s="13" t="s">
        <v>14</v>
      </c>
      <c r="U4" s="14" t="s">
        <v>15</v>
      </c>
      <c r="V4" s="14" t="s">
        <v>15</v>
      </c>
      <c r="W4" s="14" t="s">
        <v>15</v>
      </c>
      <c r="X4" s="14" t="s">
        <v>16</v>
      </c>
      <c r="Y4" s="14" t="s">
        <v>17</v>
      </c>
      <c r="Z4" s="16"/>
      <c r="AA4" s="17"/>
      <c r="AB4" s="17"/>
      <c r="AC4" s="19"/>
    </row>
    <row r="5" spans="1:29" ht="14.4" x14ac:dyDescent="0.3">
      <c r="A5" s="28" t="s">
        <v>18</v>
      </c>
      <c r="B5" s="29" t="s">
        <v>19</v>
      </c>
      <c r="C5" s="29" t="s">
        <v>19</v>
      </c>
      <c r="D5" s="30" t="s">
        <v>20</v>
      </c>
      <c r="E5" s="30" t="s">
        <v>20</v>
      </c>
      <c r="F5" s="31" t="s">
        <v>21</v>
      </c>
      <c r="G5" s="32" t="s">
        <v>22</v>
      </c>
      <c r="H5" s="33" t="s">
        <v>23</v>
      </c>
      <c r="I5" s="34" t="s">
        <v>23</v>
      </c>
      <c r="J5" s="14" t="s">
        <v>24</v>
      </c>
      <c r="K5" s="14" t="s">
        <v>25</v>
      </c>
      <c r="L5" s="14" t="s">
        <v>26</v>
      </c>
      <c r="M5" s="14" t="s">
        <v>26</v>
      </c>
      <c r="N5" s="14" t="s">
        <v>27</v>
      </c>
      <c r="O5" s="35" t="s">
        <v>28</v>
      </c>
      <c r="P5" s="35" t="s">
        <v>29</v>
      </c>
      <c r="Q5" s="35" t="s">
        <v>30</v>
      </c>
      <c r="R5" s="36" t="s">
        <v>23</v>
      </c>
      <c r="S5" s="35" t="s">
        <v>22</v>
      </c>
      <c r="T5" s="13" t="s">
        <v>31</v>
      </c>
      <c r="U5" s="14" t="s">
        <v>32</v>
      </c>
      <c r="V5" s="14" t="s">
        <v>32</v>
      </c>
      <c r="W5" s="14" t="s">
        <v>32</v>
      </c>
      <c r="X5" s="14" t="s">
        <v>33</v>
      </c>
      <c r="Y5" s="14" t="s">
        <v>34</v>
      </c>
      <c r="Z5" s="16"/>
      <c r="AA5" s="17"/>
      <c r="AB5" s="17"/>
      <c r="AC5" s="19"/>
    </row>
    <row r="6" spans="1:29" ht="14.4" x14ac:dyDescent="0.3">
      <c r="A6" s="37" t="s">
        <v>35</v>
      </c>
      <c r="B6" s="37" t="s">
        <v>36</v>
      </c>
      <c r="C6" s="37" t="s">
        <v>37</v>
      </c>
      <c r="D6" s="37" t="s">
        <v>36</v>
      </c>
      <c r="E6" s="37" t="s">
        <v>37</v>
      </c>
      <c r="F6" s="38" t="s">
        <v>38</v>
      </c>
      <c r="G6" s="18" t="s">
        <v>37</v>
      </c>
      <c r="H6" s="37" t="s">
        <v>36</v>
      </c>
      <c r="I6" s="37" t="s">
        <v>37</v>
      </c>
      <c r="J6" s="14" t="s">
        <v>39</v>
      </c>
      <c r="K6" s="14" t="s">
        <v>40</v>
      </c>
      <c r="L6" s="14" t="s">
        <v>30</v>
      </c>
      <c r="M6" s="14" t="s">
        <v>22</v>
      </c>
      <c r="N6" s="14" t="s">
        <v>21</v>
      </c>
      <c r="O6" s="14" t="s">
        <v>41</v>
      </c>
      <c r="P6" s="14" t="s">
        <v>41</v>
      </c>
      <c r="Q6" s="14" t="s">
        <v>41</v>
      </c>
      <c r="R6" s="14" t="s">
        <v>41</v>
      </c>
      <c r="S6" s="14" t="s">
        <v>42</v>
      </c>
      <c r="T6" s="13" t="s">
        <v>43</v>
      </c>
      <c r="U6" s="14" t="s">
        <v>44</v>
      </c>
      <c r="V6" s="39" t="s">
        <v>45</v>
      </c>
      <c r="W6" s="14" t="s">
        <v>22</v>
      </c>
      <c r="X6" s="14" t="s">
        <v>46</v>
      </c>
      <c r="Y6" s="14" t="s">
        <v>47</v>
      </c>
      <c r="Z6" s="14" t="s">
        <v>48</v>
      </c>
      <c r="AA6" s="40" t="s">
        <v>49</v>
      </c>
      <c r="AB6" s="17"/>
      <c r="AC6" s="19"/>
    </row>
    <row r="7" spans="1:29" ht="14.4" x14ac:dyDescent="0.3">
      <c r="A7" s="12">
        <v>1</v>
      </c>
      <c r="B7" s="41"/>
      <c r="C7" s="41">
        <v>0.48958333333333331</v>
      </c>
      <c r="D7" s="41">
        <v>0.53125</v>
      </c>
      <c r="E7" s="41">
        <v>0.70833333333333337</v>
      </c>
      <c r="F7" s="42"/>
      <c r="G7" s="43" t="str">
        <f t="shared" ref="G7:G37" si="0">IF(E7&gt;$J$4,E7,"")</f>
        <v/>
      </c>
      <c r="H7" s="41"/>
      <c r="I7" s="41"/>
      <c r="J7" s="44">
        <f t="shared" ref="J7:J37" si="1">(MOD(E7-B7,1)*24)</f>
        <v>17</v>
      </c>
      <c r="K7" s="45">
        <f t="shared" ref="K7:K37" si="2">(MOD(B7-$K$3,1)*1440)</f>
        <v>985</v>
      </c>
      <c r="L7" s="46">
        <f t="shared" ref="L7:L37" si="3">MOD($L$3-E7,1)*24</f>
        <v>0</v>
      </c>
      <c r="M7" s="47" t="e">
        <f t="shared" ref="M7:M37" si="4">((MOD(G7-$L$3,1)*24)+(IF(B7&lt;$S$3,"+0.00","-0.5")))-(IF(G7&lt;$J$3,"-0.5","0"))</f>
        <v>#VALUE!</v>
      </c>
      <c r="N7" s="48">
        <f t="shared" ref="N7:N37" si="5">COUNTIF(B7:H7,"ABSENT")</f>
        <v>0</v>
      </c>
      <c r="O7" s="49">
        <f t="shared" ref="O7:O37" si="6">($N$3/30)*N7</f>
        <v>0</v>
      </c>
      <c r="P7" s="49">
        <f t="shared" ref="P7:P37" si="7">$Q$3*U7</f>
        <v>0</v>
      </c>
      <c r="Q7" s="49">
        <f t="shared" ref="Q7:Q37" si="8">$P$3*V7</f>
        <v>0</v>
      </c>
      <c r="R7" s="50">
        <f t="shared" ref="R7:R37" si="9">($O$3*AA7)-(MOD(I7-H7,1)*24.29)*$P$3</f>
        <v>0</v>
      </c>
      <c r="S7" s="49">
        <f t="shared" ref="S7:S37" si="10">($P$3*W7)*125%</f>
        <v>0</v>
      </c>
      <c r="T7" s="51">
        <f t="shared" ref="T7:T37" si="11">S7-SUM(O7:R7)</f>
        <v>0</v>
      </c>
      <c r="U7" s="52">
        <f t="shared" ref="U7:U37" si="12">IF(AND(K7&gt;499,K7&gt;=271),0,IF(K7&lt;=270,K7,0))</f>
        <v>0</v>
      </c>
      <c r="V7" s="53">
        <f t="shared" ref="V7:V37" si="13">IF(AND(L7&gt;17,L7&gt;=17),0,IF(L7&lt;=15,L7,0))</f>
        <v>0</v>
      </c>
      <c r="W7" s="47">
        <f t="shared" ref="W7:W37" si="14">IFERROR(M7*1,0)</f>
        <v>0</v>
      </c>
      <c r="X7" s="54"/>
      <c r="Y7" s="17"/>
      <c r="Z7" s="55">
        <f t="shared" ref="Z7:Z37" si="15">COUNTBLANK(I7)</f>
        <v>1</v>
      </c>
      <c r="AA7" s="55">
        <f t="shared" ref="AA7:AA37" si="16">COUNTIF(Z7,"0")</f>
        <v>0</v>
      </c>
      <c r="AB7" s="56"/>
      <c r="AC7" s="19"/>
    </row>
    <row r="8" spans="1:29" ht="15.6" x14ac:dyDescent="0.3">
      <c r="A8" s="12">
        <v>2</v>
      </c>
      <c r="B8" s="41">
        <v>0.3125</v>
      </c>
      <c r="C8" s="41">
        <v>0.48958333333333331</v>
      </c>
      <c r="D8" s="41">
        <v>0.53125</v>
      </c>
      <c r="E8" s="41">
        <v>0.75</v>
      </c>
      <c r="F8" s="42"/>
      <c r="G8" s="43">
        <f t="shared" si="0"/>
        <v>0.75</v>
      </c>
      <c r="H8" s="41"/>
      <c r="I8" s="57"/>
      <c r="J8" s="44">
        <f t="shared" si="1"/>
        <v>10.5</v>
      </c>
      <c r="K8" s="45">
        <f t="shared" si="2"/>
        <v>1435</v>
      </c>
      <c r="L8" s="46">
        <f t="shared" si="3"/>
        <v>23</v>
      </c>
      <c r="M8" s="47">
        <f t="shared" si="4"/>
        <v>0.99999999999999911</v>
      </c>
      <c r="N8" s="48">
        <f t="shared" si="5"/>
        <v>0</v>
      </c>
      <c r="O8" s="49">
        <f t="shared" si="6"/>
        <v>0</v>
      </c>
      <c r="P8" s="49">
        <f t="shared" si="7"/>
        <v>0</v>
      </c>
      <c r="Q8" s="49">
        <f t="shared" si="8"/>
        <v>0</v>
      </c>
      <c r="R8" s="50">
        <f t="shared" si="9"/>
        <v>0</v>
      </c>
      <c r="S8" s="49">
        <f t="shared" si="10"/>
        <v>52.083333333333286</v>
      </c>
      <c r="T8" s="51">
        <f t="shared" si="11"/>
        <v>52.083333333333286</v>
      </c>
      <c r="U8" s="52">
        <f t="shared" si="12"/>
        <v>0</v>
      </c>
      <c r="V8" s="53">
        <f t="shared" si="13"/>
        <v>0</v>
      </c>
      <c r="W8" s="47">
        <f t="shared" si="14"/>
        <v>0.99999999999999911</v>
      </c>
      <c r="X8" s="54"/>
      <c r="Y8" s="17"/>
      <c r="Z8" s="55">
        <f t="shared" si="15"/>
        <v>1</v>
      </c>
      <c r="AA8" s="55">
        <f t="shared" si="16"/>
        <v>0</v>
      </c>
      <c r="AB8" s="58"/>
      <c r="AC8" s="19"/>
    </row>
    <row r="9" spans="1:29" ht="14.4" x14ac:dyDescent="0.3">
      <c r="A9" s="12">
        <v>3</v>
      </c>
      <c r="B9" s="41">
        <v>0.32291666666666669</v>
      </c>
      <c r="C9" s="41">
        <v>0.48958333333333331</v>
      </c>
      <c r="D9" s="41">
        <v>0.53125</v>
      </c>
      <c r="E9" s="41">
        <v>0.70833333333333337</v>
      </c>
      <c r="F9" s="42"/>
      <c r="G9" s="43" t="str">
        <f t="shared" si="0"/>
        <v/>
      </c>
      <c r="H9" s="41"/>
      <c r="I9" s="41"/>
      <c r="J9" s="44">
        <f t="shared" si="1"/>
        <v>9.25</v>
      </c>
      <c r="K9" s="45">
        <f t="shared" si="2"/>
        <v>10.000000000000044</v>
      </c>
      <c r="L9" s="46">
        <f t="shared" si="3"/>
        <v>0</v>
      </c>
      <c r="M9" s="47" t="e">
        <f t="shared" si="4"/>
        <v>#VALUE!</v>
      </c>
      <c r="N9" s="48">
        <f t="shared" si="5"/>
        <v>0</v>
      </c>
      <c r="O9" s="49">
        <f t="shared" si="6"/>
        <v>0</v>
      </c>
      <c r="P9" s="49">
        <f t="shared" si="7"/>
        <v>6.9444444444444748</v>
      </c>
      <c r="Q9" s="49">
        <f t="shared" si="8"/>
        <v>0</v>
      </c>
      <c r="R9" s="50">
        <f t="shared" si="9"/>
        <v>0</v>
      </c>
      <c r="S9" s="49">
        <f t="shared" si="10"/>
        <v>0</v>
      </c>
      <c r="T9" s="51">
        <f t="shared" si="11"/>
        <v>-6.9444444444444748</v>
      </c>
      <c r="U9" s="52">
        <f t="shared" si="12"/>
        <v>10.000000000000044</v>
      </c>
      <c r="V9" s="53">
        <f t="shared" si="13"/>
        <v>0</v>
      </c>
      <c r="W9" s="47">
        <f t="shared" si="14"/>
        <v>0</v>
      </c>
      <c r="X9" s="54"/>
      <c r="Y9" s="17"/>
      <c r="Z9" s="55">
        <f t="shared" si="15"/>
        <v>1</v>
      </c>
      <c r="AA9" s="55">
        <f t="shared" si="16"/>
        <v>0</v>
      </c>
      <c r="AB9" s="58"/>
      <c r="AC9" s="19"/>
    </row>
    <row r="10" spans="1:29" ht="14.4" x14ac:dyDescent="0.3">
      <c r="A10" s="12">
        <v>4</v>
      </c>
      <c r="B10" s="41">
        <v>0.32361111111111113</v>
      </c>
      <c r="C10" s="41">
        <v>0.48958333333333331</v>
      </c>
      <c r="D10" s="41">
        <v>0.53125</v>
      </c>
      <c r="E10" s="41">
        <v>0.58333333333333337</v>
      </c>
      <c r="F10" s="42"/>
      <c r="G10" s="43" t="str">
        <f t="shared" si="0"/>
        <v/>
      </c>
      <c r="H10" s="42"/>
      <c r="I10" s="42"/>
      <c r="J10" s="44">
        <f t="shared" si="1"/>
        <v>6.2333333333333343</v>
      </c>
      <c r="K10" s="45">
        <f t="shared" si="2"/>
        <v>11.000000000000041</v>
      </c>
      <c r="L10" s="46">
        <f t="shared" si="3"/>
        <v>3</v>
      </c>
      <c r="M10" s="47" t="e">
        <f t="shared" si="4"/>
        <v>#VALUE!</v>
      </c>
      <c r="N10" s="48">
        <f t="shared" si="5"/>
        <v>0</v>
      </c>
      <c r="O10" s="49">
        <f t="shared" si="6"/>
        <v>0</v>
      </c>
      <c r="P10" s="49">
        <f t="shared" si="7"/>
        <v>7.6388888888889168</v>
      </c>
      <c r="Q10" s="49">
        <f t="shared" si="8"/>
        <v>125</v>
      </c>
      <c r="R10" s="50">
        <f t="shared" si="9"/>
        <v>0</v>
      </c>
      <c r="S10" s="49">
        <f t="shared" si="10"/>
        <v>0</v>
      </c>
      <c r="T10" s="51">
        <f t="shared" si="11"/>
        <v>-132.63888888888891</v>
      </c>
      <c r="U10" s="52">
        <f t="shared" si="12"/>
        <v>11.000000000000041</v>
      </c>
      <c r="V10" s="53">
        <f t="shared" si="13"/>
        <v>3</v>
      </c>
      <c r="W10" s="47">
        <f t="shared" si="14"/>
        <v>0</v>
      </c>
      <c r="X10" s="54"/>
      <c r="Y10" s="17"/>
      <c r="Z10" s="55">
        <f t="shared" si="15"/>
        <v>1</v>
      </c>
      <c r="AA10" s="55">
        <f t="shared" si="16"/>
        <v>0</v>
      </c>
      <c r="AB10" s="58"/>
      <c r="AC10" s="19"/>
    </row>
    <row r="11" spans="1:29" ht="14.4" x14ac:dyDescent="0.3">
      <c r="A11" s="12">
        <v>5</v>
      </c>
      <c r="B11" s="41"/>
      <c r="C11" s="41"/>
      <c r="D11" s="41"/>
      <c r="E11" s="41"/>
      <c r="F11" s="42"/>
      <c r="G11" s="43" t="str">
        <f t="shared" si="0"/>
        <v/>
      </c>
      <c r="H11" s="41">
        <v>0.3125</v>
      </c>
      <c r="I11" s="41">
        <v>0.48958333333333331</v>
      </c>
      <c r="J11" s="44">
        <f t="shared" si="1"/>
        <v>0</v>
      </c>
      <c r="K11" s="45">
        <f t="shared" si="2"/>
        <v>985</v>
      </c>
      <c r="L11" s="46">
        <f t="shared" si="3"/>
        <v>17</v>
      </c>
      <c r="M11" s="47" t="e">
        <f t="shared" si="4"/>
        <v>#VALUE!</v>
      </c>
      <c r="N11" s="48">
        <f t="shared" si="5"/>
        <v>0</v>
      </c>
      <c r="O11" s="49">
        <f t="shared" si="6"/>
        <v>0</v>
      </c>
      <c r="P11" s="49">
        <f t="shared" si="7"/>
        <v>0</v>
      </c>
      <c r="Q11" s="49">
        <f t="shared" si="8"/>
        <v>0</v>
      </c>
      <c r="R11" s="50">
        <f t="shared" si="9"/>
        <v>154.11024305555557</v>
      </c>
      <c r="S11" s="49">
        <f t="shared" si="10"/>
        <v>0</v>
      </c>
      <c r="T11" s="51">
        <f t="shared" si="11"/>
        <v>-154.11024305555557</v>
      </c>
      <c r="U11" s="52">
        <f t="shared" si="12"/>
        <v>0</v>
      </c>
      <c r="V11" s="53">
        <f t="shared" si="13"/>
        <v>0</v>
      </c>
      <c r="W11" s="47">
        <f t="shared" si="14"/>
        <v>0</v>
      </c>
      <c r="X11" s="54"/>
      <c r="Y11" s="17"/>
      <c r="Z11" s="55">
        <f t="shared" si="15"/>
        <v>0</v>
      </c>
      <c r="AA11" s="55">
        <f t="shared" si="16"/>
        <v>1</v>
      </c>
      <c r="AB11" s="58"/>
      <c r="AC11" s="19"/>
    </row>
    <row r="12" spans="1:29" ht="14.4" x14ac:dyDescent="0.3">
      <c r="A12" s="12">
        <v>6</v>
      </c>
      <c r="B12" s="41"/>
      <c r="C12" s="41"/>
      <c r="D12" s="41"/>
      <c r="E12" s="41"/>
      <c r="F12" s="42"/>
      <c r="G12" s="43" t="str">
        <f t="shared" si="0"/>
        <v/>
      </c>
      <c r="H12" s="41">
        <v>0.53125</v>
      </c>
      <c r="I12" s="41">
        <v>0.70833333333333337</v>
      </c>
      <c r="J12" s="44">
        <f t="shared" si="1"/>
        <v>0</v>
      </c>
      <c r="K12" s="45">
        <f t="shared" si="2"/>
        <v>985</v>
      </c>
      <c r="L12" s="46">
        <f t="shared" si="3"/>
        <v>17</v>
      </c>
      <c r="M12" s="47" t="e">
        <f t="shared" si="4"/>
        <v>#VALUE!</v>
      </c>
      <c r="N12" s="48">
        <f t="shared" si="5"/>
        <v>0</v>
      </c>
      <c r="O12" s="49">
        <f t="shared" si="6"/>
        <v>0</v>
      </c>
      <c r="P12" s="49">
        <f t="shared" si="7"/>
        <v>0</v>
      </c>
      <c r="Q12" s="49">
        <f t="shared" si="8"/>
        <v>0</v>
      </c>
      <c r="R12" s="50">
        <f t="shared" si="9"/>
        <v>154.11024305555554</v>
      </c>
      <c r="S12" s="49">
        <f t="shared" si="10"/>
        <v>0</v>
      </c>
      <c r="T12" s="51">
        <f t="shared" si="11"/>
        <v>-154.11024305555554</v>
      </c>
      <c r="U12" s="52">
        <f t="shared" si="12"/>
        <v>0</v>
      </c>
      <c r="V12" s="53">
        <f t="shared" si="13"/>
        <v>0</v>
      </c>
      <c r="W12" s="47">
        <f t="shared" si="14"/>
        <v>0</v>
      </c>
      <c r="X12" s="54"/>
      <c r="Y12" s="17"/>
      <c r="Z12" s="55">
        <f t="shared" si="15"/>
        <v>0</v>
      </c>
      <c r="AA12" s="55">
        <f t="shared" si="16"/>
        <v>1</v>
      </c>
      <c r="AB12" s="58"/>
      <c r="AC12" s="19"/>
    </row>
    <row r="13" spans="1:29" ht="14.4" x14ac:dyDescent="0.3">
      <c r="A13" s="12">
        <v>7</v>
      </c>
      <c r="B13" s="41">
        <v>0.3263888888888889</v>
      </c>
      <c r="C13" s="41">
        <v>0.48958333333333331</v>
      </c>
      <c r="D13" s="41">
        <v>0.53125</v>
      </c>
      <c r="E13" s="41">
        <v>0.70833333333333337</v>
      </c>
      <c r="F13" s="42"/>
      <c r="G13" s="43" t="str">
        <f t="shared" si="0"/>
        <v/>
      </c>
      <c r="H13" s="41"/>
      <c r="I13" s="41"/>
      <c r="J13" s="44">
        <f t="shared" si="1"/>
        <v>9.1666666666666679</v>
      </c>
      <c r="K13" s="45">
        <f t="shared" si="2"/>
        <v>15.000000000000027</v>
      </c>
      <c r="L13" s="46">
        <f t="shared" si="3"/>
        <v>0</v>
      </c>
      <c r="M13" s="47" t="e">
        <f t="shared" si="4"/>
        <v>#VALUE!</v>
      </c>
      <c r="N13" s="48">
        <f t="shared" si="5"/>
        <v>0</v>
      </c>
      <c r="O13" s="49">
        <f t="shared" si="6"/>
        <v>0</v>
      </c>
      <c r="P13" s="49">
        <f t="shared" si="7"/>
        <v>10.416666666666686</v>
      </c>
      <c r="Q13" s="49">
        <f t="shared" si="8"/>
        <v>0</v>
      </c>
      <c r="R13" s="50">
        <f t="shared" si="9"/>
        <v>0</v>
      </c>
      <c r="S13" s="49">
        <f t="shared" si="10"/>
        <v>0</v>
      </c>
      <c r="T13" s="51">
        <f t="shared" si="11"/>
        <v>-10.416666666666686</v>
      </c>
      <c r="U13" s="52">
        <f t="shared" si="12"/>
        <v>15.000000000000027</v>
      </c>
      <c r="V13" s="53">
        <f t="shared" si="13"/>
        <v>0</v>
      </c>
      <c r="W13" s="47">
        <f t="shared" si="14"/>
        <v>0</v>
      </c>
      <c r="X13" s="54"/>
      <c r="Y13" s="17"/>
      <c r="Z13" s="55">
        <f t="shared" si="15"/>
        <v>1</v>
      </c>
      <c r="AA13" s="55">
        <f t="shared" si="16"/>
        <v>0</v>
      </c>
      <c r="AB13" s="58"/>
      <c r="AC13" s="19"/>
    </row>
    <row r="14" spans="1:29" ht="14.4" x14ac:dyDescent="0.3">
      <c r="A14" s="12">
        <v>8</v>
      </c>
      <c r="B14" s="59"/>
      <c r="C14" s="41"/>
      <c r="D14" s="41"/>
      <c r="E14" s="41"/>
      <c r="F14" s="42" t="s">
        <v>21</v>
      </c>
      <c r="G14" s="43" t="str">
        <f t="shared" si="0"/>
        <v/>
      </c>
      <c r="H14" s="41"/>
      <c r="I14" s="41"/>
      <c r="J14" s="44">
        <f t="shared" si="1"/>
        <v>0</v>
      </c>
      <c r="K14" s="45">
        <f t="shared" si="2"/>
        <v>985</v>
      </c>
      <c r="L14" s="46">
        <f t="shared" si="3"/>
        <v>17</v>
      </c>
      <c r="M14" s="47" t="e">
        <f t="shared" si="4"/>
        <v>#VALUE!</v>
      </c>
      <c r="N14" s="48">
        <f t="shared" si="5"/>
        <v>1</v>
      </c>
      <c r="O14" s="49">
        <f t="shared" si="6"/>
        <v>333.33333333333331</v>
      </c>
      <c r="P14" s="49">
        <f t="shared" si="7"/>
        <v>0</v>
      </c>
      <c r="Q14" s="49">
        <f t="shared" si="8"/>
        <v>0</v>
      </c>
      <c r="R14" s="50">
        <f t="shared" si="9"/>
        <v>0</v>
      </c>
      <c r="S14" s="49">
        <f t="shared" si="10"/>
        <v>0</v>
      </c>
      <c r="T14" s="51">
        <f t="shared" si="11"/>
        <v>-333.33333333333331</v>
      </c>
      <c r="U14" s="52">
        <f t="shared" si="12"/>
        <v>0</v>
      </c>
      <c r="V14" s="53">
        <f t="shared" si="13"/>
        <v>0</v>
      </c>
      <c r="W14" s="47">
        <f t="shared" si="14"/>
        <v>0</v>
      </c>
      <c r="X14" s="54"/>
      <c r="Y14" s="17"/>
      <c r="Z14" s="55">
        <f t="shared" si="15"/>
        <v>1</v>
      </c>
      <c r="AA14" s="55">
        <f t="shared" si="16"/>
        <v>0</v>
      </c>
      <c r="AB14" s="58"/>
      <c r="AC14" s="19"/>
    </row>
    <row r="15" spans="1:29" ht="14.4" x14ac:dyDescent="0.3">
      <c r="A15" s="12">
        <v>9</v>
      </c>
      <c r="B15" s="41">
        <v>0.31666666666666665</v>
      </c>
      <c r="C15" s="41">
        <v>0.48958333333333331</v>
      </c>
      <c r="D15" s="41">
        <v>0.53125</v>
      </c>
      <c r="E15" s="41">
        <v>0.70833333333333337</v>
      </c>
      <c r="F15" s="42"/>
      <c r="G15" s="43" t="str">
        <f t="shared" si="0"/>
        <v/>
      </c>
      <c r="H15" s="41"/>
      <c r="I15" s="41"/>
      <c r="J15" s="44">
        <f t="shared" si="1"/>
        <v>9.4000000000000021</v>
      </c>
      <c r="K15" s="45">
        <f t="shared" si="2"/>
        <v>0.99999999999999645</v>
      </c>
      <c r="L15" s="46">
        <f t="shared" si="3"/>
        <v>0</v>
      </c>
      <c r="M15" s="47" t="e">
        <f t="shared" si="4"/>
        <v>#VALUE!</v>
      </c>
      <c r="N15" s="48">
        <f t="shared" si="5"/>
        <v>0</v>
      </c>
      <c r="O15" s="49">
        <f t="shared" si="6"/>
        <v>0</v>
      </c>
      <c r="P15" s="49">
        <f t="shared" si="7"/>
        <v>0.69444444444444198</v>
      </c>
      <c r="Q15" s="49">
        <f t="shared" si="8"/>
        <v>0</v>
      </c>
      <c r="R15" s="50">
        <f t="shared" si="9"/>
        <v>0</v>
      </c>
      <c r="S15" s="49">
        <f t="shared" si="10"/>
        <v>0</v>
      </c>
      <c r="T15" s="51">
        <f t="shared" si="11"/>
        <v>-0.69444444444444198</v>
      </c>
      <c r="U15" s="52">
        <f t="shared" si="12"/>
        <v>0.99999999999999645</v>
      </c>
      <c r="V15" s="53">
        <f t="shared" si="13"/>
        <v>0</v>
      </c>
      <c r="W15" s="47">
        <f t="shared" si="14"/>
        <v>0</v>
      </c>
      <c r="X15" s="54"/>
      <c r="Y15" s="17"/>
      <c r="Z15" s="55">
        <f t="shared" si="15"/>
        <v>1</v>
      </c>
      <c r="AA15" s="55">
        <f t="shared" si="16"/>
        <v>0</v>
      </c>
      <c r="AB15" s="58"/>
      <c r="AC15" s="19"/>
    </row>
    <row r="16" spans="1:29" ht="14.4" x14ac:dyDescent="0.3">
      <c r="A16" s="12">
        <v>10</v>
      </c>
      <c r="B16" s="41">
        <v>0.3125</v>
      </c>
      <c r="C16" s="41">
        <v>0.48958333333333331</v>
      </c>
      <c r="D16" s="41">
        <v>0.53125</v>
      </c>
      <c r="E16" s="41">
        <v>0.72916666666666663</v>
      </c>
      <c r="F16" s="42"/>
      <c r="G16" s="43" t="str">
        <f t="shared" si="0"/>
        <v/>
      </c>
      <c r="H16" s="41"/>
      <c r="I16" s="41"/>
      <c r="J16" s="44">
        <f t="shared" si="1"/>
        <v>10</v>
      </c>
      <c r="K16" s="45">
        <f t="shared" si="2"/>
        <v>1435</v>
      </c>
      <c r="L16" s="46">
        <f t="shared" si="3"/>
        <v>23.5</v>
      </c>
      <c r="M16" s="47" t="e">
        <f t="shared" si="4"/>
        <v>#VALUE!</v>
      </c>
      <c r="N16" s="48">
        <f t="shared" si="5"/>
        <v>0</v>
      </c>
      <c r="O16" s="49">
        <f t="shared" si="6"/>
        <v>0</v>
      </c>
      <c r="P16" s="49">
        <f t="shared" si="7"/>
        <v>0</v>
      </c>
      <c r="Q16" s="49">
        <f t="shared" si="8"/>
        <v>0</v>
      </c>
      <c r="R16" s="50">
        <f t="shared" si="9"/>
        <v>0</v>
      </c>
      <c r="S16" s="49">
        <f t="shared" si="10"/>
        <v>0</v>
      </c>
      <c r="T16" s="51">
        <f t="shared" si="11"/>
        <v>0</v>
      </c>
      <c r="U16" s="52">
        <f t="shared" si="12"/>
        <v>0</v>
      </c>
      <c r="V16" s="53">
        <f t="shared" si="13"/>
        <v>0</v>
      </c>
      <c r="W16" s="47">
        <f t="shared" si="14"/>
        <v>0</v>
      </c>
      <c r="X16" s="54"/>
      <c r="Y16" s="17"/>
      <c r="Z16" s="55">
        <f t="shared" si="15"/>
        <v>1</v>
      </c>
      <c r="AA16" s="55">
        <f t="shared" si="16"/>
        <v>0</v>
      </c>
      <c r="AB16" s="58"/>
      <c r="AC16" s="19"/>
    </row>
    <row r="17" spans="1:29" ht="14.4" x14ac:dyDescent="0.3">
      <c r="A17" s="12">
        <v>11</v>
      </c>
      <c r="B17" s="41">
        <v>0.3125</v>
      </c>
      <c r="C17" s="41">
        <v>0.48958333333333331</v>
      </c>
      <c r="D17" s="41">
        <v>0.53125</v>
      </c>
      <c r="E17" s="41">
        <v>0.72986111111111107</v>
      </c>
      <c r="F17" s="42"/>
      <c r="G17" s="43">
        <f t="shared" si="0"/>
        <v>0.72986111111111107</v>
      </c>
      <c r="H17" s="41"/>
      <c r="I17" s="41"/>
      <c r="J17" s="44">
        <f t="shared" si="1"/>
        <v>10.016666666666666</v>
      </c>
      <c r="K17" s="45">
        <f t="shared" si="2"/>
        <v>1435</v>
      </c>
      <c r="L17" s="46">
        <f t="shared" si="3"/>
        <v>23.483333333333334</v>
      </c>
      <c r="M17" s="47">
        <f t="shared" si="4"/>
        <v>0.51666666666666483</v>
      </c>
      <c r="N17" s="48">
        <f t="shared" si="5"/>
        <v>0</v>
      </c>
      <c r="O17" s="49">
        <f t="shared" si="6"/>
        <v>0</v>
      </c>
      <c r="P17" s="49">
        <f t="shared" si="7"/>
        <v>0</v>
      </c>
      <c r="Q17" s="49">
        <f t="shared" si="8"/>
        <v>0</v>
      </c>
      <c r="R17" s="50">
        <f t="shared" si="9"/>
        <v>0</v>
      </c>
      <c r="S17" s="49">
        <f t="shared" si="10"/>
        <v>26.909722222222126</v>
      </c>
      <c r="T17" s="51">
        <f t="shared" si="11"/>
        <v>26.909722222222126</v>
      </c>
      <c r="U17" s="52">
        <f t="shared" si="12"/>
        <v>0</v>
      </c>
      <c r="V17" s="53">
        <f t="shared" si="13"/>
        <v>0</v>
      </c>
      <c r="W17" s="47">
        <f t="shared" si="14"/>
        <v>0.51666666666666483</v>
      </c>
      <c r="X17" s="54"/>
      <c r="Y17" s="17"/>
      <c r="Z17" s="55">
        <f t="shared" si="15"/>
        <v>1</v>
      </c>
      <c r="AA17" s="55">
        <f t="shared" si="16"/>
        <v>0</v>
      </c>
      <c r="AB17" s="58"/>
      <c r="AC17" s="19"/>
    </row>
    <row r="18" spans="1:29" ht="15.6" x14ac:dyDescent="0.3">
      <c r="A18" s="12">
        <v>12</v>
      </c>
      <c r="B18" s="41"/>
      <c r="C18" s="41">
        <v>0.48958333333333331</v>
      </c>
      <c r="D18" s="41">
        <v>0.53125</v>
      </c>
      <c r="E18" s="41">
        <v>0.72986111111111107</v>
      </c>
      <c r="F18" s="42"/>
      <c r="G18" s="43">
        <f t="shared" si="0"/>
        <v>0.72986111111111107</v>
      </c>
      <c r="H18" s="57"/>
      <c r="I18" s="41"/>
      <c r="J18" s="44">
        <f t="shared" si="1"/>
        <v>17.516666666666666</v>
      </c>
      <c r="K18" s="45">
        <f t="shared" si="2"/>
        <v>985</v>
      </c>
      <c r="L18" s="46">
        <f t="shared" si="3"/>
        <v>23.483333333333334</v>
      </c>
      <c r="M18" s="47">
        <f t="shared" si="4"/>
        <v>0.51666666666666483</v>
      </c>
      <c r="N18" s="48">
        <f t="shared" si="5"/>
        <v>0</v>
      </c>
      <c r="O18" s="49">
        <f t="shared" si="6"/>
        <v>0</v>
      </c>
      <c r="P18" s="49">
        <f t="shared" si="7"/>
        <v>0</v>
      </c>
      <c r="Q18" s="49">
        <f t="shared" si="8"/>
        <v>0</v>
      </c>
      <c r="R18" s="50">
        <f t="shared" si="9"/>
        <v>0</v>
      </c>
      <c r="S18" s="49">
        <f t="shared" si="10"/>
        <v>26.909722222222126</v>
      </c>
      <c r="T18" s="51">
        <f t="shared" si="11"/>
        <v>26.909722222222126</v>
      </c>
      <c r="U18" s="52">
        <f t="shared" si="12"/>
        <v>0</v>
      </c>
      <c r="V18" s="53">
        <f t="shared" si="13"/>
        <v>0</v>
      </c>
      <c r="W18" s="47">
        <f t="shared" si="14"/>
        <v>0.51666666666666483</v>
      </c>
      <c r="X18" s="54"/>
      <c r="Y18" s="17"/>
      <c r="Z18" s="55">
        <f t="shared" si="15"/>
        <v>1</v>
      </c>
      <c r="AA18" s="55">
        <f t="shared" si="16"/>
        <v>0</v>
      </c>
      <c r="AB18" s="58"/>
      <c r="AC18" s="19"/>
    </row>
    <row r="19" spans="1:29" ht="14.4" x14ac:dyDescent="0.3">
      <c r="A19" s="12">
        <v>13</v>
      </c>
      <c r="B19" s="41"/>
      <c r="C19" s="41"/>
      <c r="D19" s="41"/>
      <c r="E19" s="41"/>
      <c r="F19" s="42"/>
      <c r="G19" s="43" t="str">
        <f t="shared" si="0"/>
        <v/>
      </c>
      <c r="H19" s="41"/>
      <c r="I19" s="41"/>
      <c r="J19" s="44">
        <f t="shared" si="1"/>
        <v>0</v>
      </c>
      <c r="K19" s="45">
        <f t="shared" si="2"/>
        <v>985</v>
      </c>
      <c r="L19" s="46">
        <f t="shared" si="3"/>
        <v>17</v>
      </c>
      <c r="M19" s="47" t="e">
        <f t="shared" si="4"/>
        <v>#VALUE!</v>
      </c>
      <c r="N19" s="48">
        <f t="shared" si="5"/>
        <v>0</v>
      </c>
      <c r="O19" s="49">
        <f t="shared" si="6"/>
        <v>0</v>
      </c>
      <c r="P19" s="49">
        <f t="shared" si="7"/>
        <v>0</v>
      </c>
      <c r="Q19" s="49">
        <f t="shared" si="8"/>
        <v>0</v>
      </c>
      <c r="R19" s="50">
        <f t="shared" si="9"/>
        <v>0</v>
      </c>
      <c r="S19" s="49">
        <f t="shared" si="10"/>
        <v>0</v>
      </c>
      <c r="T19" s="51">
        <f t="shared" si="11"/>
        <v>0</v>
      </c>
      <c r="U19" s="52">
        <f t="shared" si="12"/>
        <v>0</v>
      </c>
      <c r="V19" s="53">
        <f t="shared" si="13"/>
        <v>0</v>
      </c>
      <c r="W19" s="47">
        <f t="shared" si="14"/>
        <v>0</v>
      </c>
      <c r="X19" s="54"/>
      <c r="Y19" s="17"/>
      <c r="Z19" s="55">
        <f t="shared" si="15"/>
        <v>1</v>
      </c>
      <c r="AA19" s="55">
        <f t="shared" si="16"/>
        <v>0</v>
      </c>
      <c r="AB19" s="58"/>
      <c r="AC19" s="19"/>
    </row>
    <row r="20" spans="1:29" ht="14.4" x14ac:dyDescent="0.3">
      <c r="A20" s="12">
        <v>14</v>
      </c>
      <c r="B20" s="76">
        <v>0.33333333333333331</v>
      </c>
      <c r="C20" s="41"/>
      <c r="D20" s="41"/>
      <c r="E20" s="41">
        <v>0.70833333333333337</v>
      </c>
      <c r="F20" s="42"/>
      <c r="G20" s="43" t="str">
        <f t="shared" si="0"/>
        <v/>
      </c>
      <c r="H20" s="41"/>
      <c r="I20" s="41"/>
      <c r="J20" s="44">
        <f t="shared" si="1"/>
        <v>9.0000000000000018</v>
      </c>
      <c r="K20" s="45">
        <f t="shared" si="2"/>
        <v>24.999999999999993</v>
      </c>
      <c r="L20" s="46">
        <f t="shared" si="3"/>
        <v>0</v>
      </c>
      <c r="M20" s="47" t="e">
        <f t="shared" si="4"/>
        <v>#VALUE!</v>
      </c>
      <c r="N20" s="48">
        <f t="shared" si="5"/>
        <v>0</v>
      </c>
      <c r="O20" s="49">
        <f t="shared" si="6"/>
        <v>0</v>
      </c>
      <c r="P20" s="49">
        <f t="shared" si="7"/>
        <v>17.361111111111107</v>
      </c>
      <c r="Q20" s="49">
        <f t="shared" si="8"/>
        <v>0</v>
      </c>
      <c r="R20" s="50">
        <f t="shared" si="9"/>
        <v>0</v>
      </c>
      <c r="S20" s="49">
        <f t="shared" si="10"/>
        <v>0</v>
      </c>
      <c r="T20" s="51">
        <f t="shared" si="11"/>
        <v>-17.361111111111107</v>
      </c>
      <c r="U20" s="52">
        <f t="shared" si="12"/>
        <v>24.999999999999993</v>
      </c>
      <c r="V20" s="53">
        <f t="shared" si="13"/>
        <v>0</v>
      </c>
      <c r="W20" s="47">
        <f t="shared" si="14"/>
        <v>0</v>
      </c>
      <c r="X20" s="54"/>
      <c r="Y20" s="17"/>
      <c r="Z20" s="55">
        <f t="shared" si="15"/>
        <v>1</v>
      </c>
      <c r="AA20" s="55">
        <f t="shared" si="16"/>
        <v>0</v>
      </c>
      <c r="AB20" s="58"/>
      <c r="AC20" s="19"/>
    </row>
    <row r="21" spans="1:29" ht="15.75" customHeight="1" x14ac:dyDescent="0.3">
      <c r="A21" s="12">
        <v>15</v>
      </c>
      <c r="B21" s="41"/>
      <c r="C21" s="41"/>
      <c r="D21" s="41"/>
      <c r="E21" s="41"/>
      <c r="F21" s="42"/>
      <c r="G21" s="43" t="str">
        <f t="shared" si="0"/>
        <v/>
      </c>
      <c r="H21" s="41"/>
      <c r="I21" s="41"/>
      <c r="J21" s="44">
        <f t="shared" si="1"/>
        <v>0</v>
      </c>
      <c r="K21" s="45">
        <f t="shared" si="2"/>
        <v>985</v>
      </c>
      <c r="L21" s="46">
        <f t="shared" si="3"/>
        <v>17</v>
      </c>
      <c r="M21" s="47" t="e">
        <f t="shared" si="4"/>
        <v>#VALUE!</v>
      </c>
      <c r="N21" s="48">
        <f t="shared" si="5"/>
        <v>0</v>
      </c>
      <c r="O21" s="49">
        <f t="shared" si="6"/>
        <v>0</v>
      </c>
      <c r="P21" s="49">
        <f t="shared" si="7"/>
        <v>0</v>
      </c>
      <c r="Q21" s="49">
        <f t="shared" si="8"/>
        <v>0</v>
      </c>
      <c r="R21" s="50">
        <f t="shared" si="9"/>
        <v>0</v>
      </c>
      <c r="S21" s="49">
        <f t="shared" si="10"/>
        <v>0</v>
      </c>
      <c r="T21" s="51">
        <f t="shared" si="11"/>
        <v>0</v>
      </c>
      <c r="U21" s="52">
        <f t="shared" si="12"/>
        <v>0</v>
      </c>
      <c r="V21" s="53">
        <f t="shared" si="13"/>
        <v>0</v>
      </c>
      <c r="W21" s="47">
        <f t="shared" si="14"/>
        <v>0</v>
      </c>
      <c r="X21" s="54"/>
      <c r="Y21" s="17"/>
      <c r="Z21" s="55">
        <f t="shared" si="15"/>
        <v>1</v>
      </c>
      <c r="AA21" s="55">
        <f t="shared" si="16"/>
        <v>0</v>
      </c>
      <c r="AB21" s="58"/>
      <c r="AC21" s="19"/>
    </row>
    <row r="22" spans="1:29" ht="15.75" customHeight="1" x14ac:dyDescent="0.3">
      <c r="A22" s="12">
        <v>16</v>
      </c>
      <c r="B22" s="41"/>
      <c r="C22" s="41"/>
      <c r="D22" s="41"/>
      <c r="E22" s="41"/>
      <c r="F22" s="42"/>
      <c r="G22" s="43" t="str">
        <f t="shared" si="0"/>
        <v/>
      </c>
      <c r="H22" s="41"/>
      <c r="I22" s="41"/>
      <c r="J22" s="44">
        <f t="shared" si="1"/>
        <v>0</v>
      </c>
      <c r="K22" s="45">
        <f t="shared" si="2"/>
        <v>985</v>
      </c>
      <c r="L22" s="46">
        <f t="shared" si="3"/>
        <v>17</v>
      </c>
      <c r="M22" s="47" t="e">
        <f t="shared" si="4"/>
        <v>#VALUE!</v>
      </c>
      <c r="N22" s="48">
        <f t="shared" si="5"/>
        <v>0</v>
      </c>
      <c r="O22" s="49">
        <f t="shared" si="6"/>
        <v>0</v>
      </c>
      <c r="P22" s="49">
        <f t="shared" si="7"/>
        <v>0</v>
      </c>
      <c r="Q22" s="49">
        <f t="shared" si="8"/>
        <v>0</v>
      </c>
      <c r="R22" s="50">
        <f t="shared" si="9"/>
        <v>0</v>
      </c>
      <c r="S22" s="49">
        <f t="shared" si="10"/>
        <v>0</v>
      </c>
      <c r="T22" s="51">
        <f t="shared" si="11"/>
        <v>0</v>
      </c>
      <c r="U22" s="52">
        <f t="shared" si="12"/>
        <v>0</v>
      </c>
      <c r="V22" s="53">
        <f t="shared" si="13"/>
        <v>0</v>
      </c>
      <c r="W22" s="47">
        <f t="shared" si="14"/>
        <v>0</v>
      </c>
      <c r="X22" s="54"/>
      <c r="Y22" s="17"/>
      <c r="Z22" s="55">
        <f t="shared" si="15"/>
        <v>1</v>
      </c>
      <c r="AA22" s="55">
        <f t="shared" si="16"/>
        <v>0</v>
      </c>
      <c r="AB22" s="58"/>
      <c r="AC22" s="19"/>
    </row>
    <row r="23" spans="1:29" ht="15.75" customHeight="1" x14ac:dyDescent="0.3">
      <c r="A23" s="12">
        <v>17</v>
      </c>
      <c r="B23" s="41"/>
      <c r="C23" s="41"/>
      <c r="D23" s="41"/>
      <c r="E23" s="41"/>
      <c r="F23" s="42"/>
      <c r="G23" s="43" t="str">
        <f t="shared" si="0"/>
        <v/>
      </c>
      <c r="H23" s="41"/>
      <c r="I23" s="41"/>
      <c r="J23" s="44">
        <f t="shared" si="1"/>
        <v>0</v>
      </c>
      <c r="K23" s="45">
        <f t="shared" si="2"/>
        <v>985</v>
      </c>
      <c r="L23" s="46">
        <f t="shared" si="3"/>
        <v>17</v>
      </c>
      <c r="M23" s="47" t="e">
        <f t="shared" si="4"/>
        <v>#VALUE!</v>
      </c>
      <c r="N23" s="48">
        <f t="shared" si="5"/>
        <v>0</v>
      </c>
      <c r="O23" s="49">
        <f t="shared" si="6"/>
        <v>0</v>
      </c>
      <c r="P23" s="49">
        <f t="shared" si="7"/>
        <v>0</v>
      </c>
      <c r="Q23" s="49">
        <f t="shared" si="8"/>
        <v>0</v>
      </c>
      <c r="R23" s="50">
        <f t="shared" si="9"/>
        <v>0</v>
      </c>
      <c r="S23" s="49">
        <f t="shared" si="10"/>
        <v>0</v>
      </c>
      <c r="T23" s="51">
        <f t="shared" si="11"/>
        <v>0</v>
      </c>
      <c r="U23" s="52">
        <f t="shared" si="12"/>
        <v>0</v>
      </c>
      <c r="V23" s="53">
        <f t="shared" si="13"/>
        <v>0</v>
      </c>
      <c r="W23" s="47">
        <f t="shared" si="14"/>
        <v>0</v>
      </c>
      <c r="X23" s="54"/>
      <c r="Y23" s="17"/>
      <c r="Z23" s="55">
        <f t="shared" si="15"/>
        <v>1</v>
      </c>
      <c r="AA23" s="55">
        <f t="shared" si="16"/>
        <v>0</v>
      </c>
      <c r="AB23" s="58"/>
      <c r="AC23" s="19"/>
    </row>
    <row r="24" spans="1:29" ht="15.75" customHeight="1" x14ac:dyDescent="0.3">
      <c r="A24" s="12">
        <v>18</v>
      </c>
      <c r="B24" s="41"/>
      <c r="C24" s="41"/>
      <c r="D24" s="41"/>
      <c r="E24" s="41"/>
      <c r="F24" s="42"/>
      <c r="G24" s="43" t="str">
        <f t="shared" si="0"/>
        <v/>
      </c>
      <c r="H24" s="41"/>
      <c r="I24" s="41"/>
      <c r="J24" s="44">
        <f t="shared" si="1"/>
        <v>0</v>
      </c>
      <c r="K24" s="45">
        <f t="shared" si="2"/>
        <v>985</v>
      </c>
      <c r="L24" s="46">
        <f t="shared" si="3"/>
        <v>17</v>
      </c>
      <c r="M24" s="47" t="e">
        <f t="shared" si="4"/>
        <v>#VALUE!</v>
      </c>
      <c r="N24" s="48">
        <f t="shared" si="5"/>
        <v>0</v>
      </c>
      <c r="O24" s="49">
        <f t="shared" si="6"/>
        <v>0</v>
      </c>
      <c r="P24" s="49">
        <f t="shared" si="7"/>
        <v>0</v>
      </c>
      <c r="Q24" s="49">
        <f t="shared" si="8"/>
        <v>0</v>
      </c>
      <c r="R24" s="50">
        <f t="shared" si="9"/>
        <v>0</v>
      </c>
      <c r="S24" s="49">
        <f t="shared" si="10"/>
        <v>0</v>
      </c>
      <c r="T24" s="51">
        <f t="shared" si="11"/>
        <v>0</v>
      </c>
      <c r="U24" s="52">
        <f t="shared" si="12"/>
        <v>0</v>
      </c>
      <c r="V24" s="53">
        <f t="shared" si="13"/>
        <v>0</v>
      </c>
      <c r="W24" s="47">
        <f t="shared" si="14"/>
        <v>0</v>
      </c>
      <c r="X24" s="54"/>
      <c r="Y24" s="17"/>
      <c r="Z24" s="55">
        <f t="shared" si="15"/>
        <v>1</v>
      </c>
      <c r="AA24" s="55">
        <f t="shared" si="16"/>
        <v>0</v>
      </c>
      <c r="AB24" s="58"/>
      <c r="AC24" s="19"/>
    </row>
    <row r="25" spans="1:29" ht="15.75" customHeight="1" x14ac:dyDescent="0.3">
      <c r="A25" s="12">
        <v>19</v>
      </c>
      <c r="B25" s="41"/>
      <c r="C25" s="41"/>
      <c r="D25" s="41"/>
      <c r="E25" s="41"/>
      <c r="F25" s="42"/>
      <c r="G25" s="43" t="str">
        <f t="shared" si="0"/>
        <v/>
      </c>
      <c r="H25" s="41"/>
      <c r="I25" s="41"/>
      <c r="J25" s="44">
        <f t="shared" si="1"/>
        <v>0</v>
      </c>
      <c r="K25" s="45">
        <f t="shared" si="2"/>
        <v>985</v>
      </c>
      <c r="L25" s="46">
        <f t="shared" si="3"/>
        <v>17</v>
      </c>
      <c r="M25" s="47" t="e">
        <f t="shared" si="4"/>
        <v>#VALUE!</v>
      </c>
      <c r="N25" s="48">
        <f t="shared" si="5"/>
        <v>0</v>
      </c>
      <c r="O25" s="49">
        <f t="shared" si="6"/>
        <v>0</v>
      </c>
      <c r="P25" s="49">
        <f t="shared" si="7"/>
        <v>0</v>
      </c>
      <c r="Q25" s="49">
        <f t="shared" si="8"/>
        <v>0</v>
      </c>
      <c r="R25" s="50">
        <f t="shared" si="9"/>
        <v>0</v>
      </c>
      <c r="S25" s="49">
        <f t="shared" si="10"/>
        <v>0</v>
      </c>
      <c r="T25" s="51">
        <f t="shared" si="11"/>
        <v>0</v>
      </c>
      <c r="U25" s="52">
        <f t="shared" si="12"/>
        <v>0</v>
      </c>
      <c r="V25" s="53">
        <f t="shared" si="13"/>
        <v>0</v>
      </c>
      <c r="W25" s="47">
        <f t="shared" si="14"/>
        <v>0</v>
      </c>
      <c r="X25" s="54"/>
      <c r="Y25" s="17"/>
      <c r="Z25" s="55">
        <f t="shared" si="15"/>
        <v>1</v>
      </c>
      <c r="AA25" s="55">
        <f t="shared" si="16"/>
        <v>0</v>
      </c>
      <c r="AB25" s="58"/>
      <c r="AC25" s="19"/>
    </row>
    <row r="26" spans="1:29" ht="15.75" customHeight="1" x14ac:dyDescent="0.3">
      <c r="A26" s="12">
        <v>20</v>
      </c>
      <c r="B26" s="41"/>
      <c r="C26" s="41"/>
      <c r="D26" s="41"/>
      <c r="E26" s="41"/>
      <c r="F26" s="42"/>
      <c r="G26" s="43" t="str">
        <f t="shared" si="0"/>
        <v/>
      </c>
      <c r="H26" s="41"/>
      <c r="I26" s="41"/>
      <c r="J26" s="44">
        <f t="shared" si="1"/>
        <v>0</v>
      </c>
      <c r="K26" s="45">
        <f t="shared" si="2"/>
        <v>985</v>
      </c>
      <c r="L26" s="46">
        <f t="shared" si="3"/>
        <v>17</v>
      </c>
      <c r="M26" s="47" t="e">
        <f t="shared" si="4"/>
        <v>#VALUE!</v>
      </c>
      <c r="N26" s="48">
        <f t="shared" si="5"/>
        <v>0</v>
      </c>
      <c r="O26" s="49">
        <f t="shared" si="6"/>
        <v>0</v>
      </c>
      <c r="P26" s="49">
        <f t="shared" si="7"/>
        <v>0</v>
      </c>
      <c r="Q26" s="49">
        <f t="shared" si="8"/>
        <v>0</v>
      </c>
      <c r="R26" s="50">
        <f t="shared" si="9"/>
        <v>0</v>
      </c>
      <c r="S26" s="49">
        <f t="shared" si="10"/>
        <v>0</v>
      </c>
      <c r="T26" s="51">
        <f t="shared" si="11"/>
        <v>0</v>
      </c>
      <c r="U26" s="52">
        <f t="shared" si="12"/>
        <v>0</v>
      </c>
      <c r="V26" s="53">
        <f t="shared" si="13"/>
        <v>0</v>
      </c>
      <c r="W26" s="47">
        <f t="shared" si="14"/>
        <v>0</v>
      </c>
      <c r="X26" s="54"/>
      <c r="Y26" s="17"/>
      <c r="Z26" s="55">
        <f t="shared" si="15"/>
        <v>1</v>
      </c>
      <c r="AA26" s="55">
        <f t="shared" si="16"/>
        <v>0</v>
      </c>
      <c r="AB26" s="58"/>
      <c r="AC26" s="19"/>
    </row>
    <row r="27" spans="1:29" ht="15.75" customHeight="1" x14ac:dyDescent="0.3">
      <c r="A27" s="12">
        <v>21</v>
      </c>
      <c r="B27" s="41"/>
      <c r="C27" s="41"/>
      <c r="D27" s="41"/>
      <c r="E27" s="41"/>
      <c r="F27" s="41"/>
      <c r="G27" s="43" t="str">
        <f t="shared" si="0"/>
        <v/>
      </c>
      <c r="H27" s="41"/>
      <c r="I27" s="41"/>
      <c r="J27" s="44">
        <f t="shared" si="1"/>
        <v>0</v>
      </c>
      <c r="K27" s="45">
        <f t="shared" si="2"/>
        <v>985</v>
      </c>
      <c r="L27" s="46">
        <f t="shared" si="3"/>
        <v>17</v>
      </c>
      <c r="M27" s="47" t="e">
        <f t="shared" si="4"/>
        <v>#VALUE!</v>
      </c>
      <c r="N27" s="48">
        <f t="shared" si="5"/>
        <v>0</v>
      </c>
      <c r="O27" s="49">
        <f t="shared" si="6"/>
        <v>0</v>
      </c>
      <c r="P27" s="49">
        <f t="shared" si="7"/>
        <v>0</v>
      </c>
      <c r="Q27" s="49">
        <f t="shared" si="8"/>
        <v>0</v>
      </c>
      <c r="R27" s="50">
        <f t="shared" si="9"/>
        <v>0</v>
      </c>
      <c r="S27" s="49">
        <f t="shared" si="10"/>
        <v>0</v>
      </c>
      <c r="T27" s="51">
        <f t="shared" si="11"/>
        <v>0</v>
      </c>
      <c r="U27" s="52">
        <f t="shared" si="12"/>
        <v>0</v>
      </c>
      <c r="V27" s="53">
        <f t="shared" si="13"/>
        <v>0</v>
      </c>
      <c r="W27" s="47">
        <f t="shared" si="14"/>
        <v>0</v>
      </c>
      <c r="X27" s="54"/>
      <c r="Y27" s="17"/>
      <c r="Z27" s="55">
        <f t="shared" si="15"/>
        <v>1</v>
      </c>
      <c r="AA27" s="55">
        <f t="shared" si="16"/>
        <v>0</v>
      </c>
      <c r="AB27" s="58"/>
      <c r="AC27" s="19"/>
    </row>
    <row r="28" spans="1:29" ht="15.75" customHeight="1" x14ac:dyDescent="0.3">
      <c r="A28" s="12">
        <v>22</v>
      </c>
      <c r="B28" s="41"/>
      <c r="C28" s="41"/>
      <c r="D28" s="41"/>
      <c r="E28" s="41"/>
      <c r="F28" s="42"/>
      <c r="G28" s="43" t="str">
        <f t="shared" si="0"/>
        <v/>
      </c>
      <c r="H28" s="41"/>
      <c r="I28" s="41"/>
      <c r="J28" s="44">
        <f t="shared" si="1"/>
        <v>0</v>
      </c>
      <c r="K28" s="45">
        <f t="shared" si="2"/>
        <v>985</v>
      </c>
      <c r="L28" s="46">
        <f t="shared" si="3"/>
        <v>17</v>
      </c>
      <c r="M28" s="47" t="e">
        <f t="shared" si="4"/>
        <v>#VALUE!</v>
      </c>
      <c r="N28" s="48">
        <f t="shared" si="5"/>
        <v>0</v>
      </c>
      <c r="O28" s="49">
        <f t="shared" si="6"/>
        <v>0</v>
      </c>
      <c r="P28" s="49">
        <f t="shared" si="7"/>
        <v>0</v>
      </c>
      <c r="Q28" s="49">
        <f t="shared" si="8"/>
        <v>0</v>
      </c>
      <c r="R28" s="50">
        <f t="shared" si="9"/>
        <v>0</v>
      </c>
      <c r="S28" s="49">
        <f t="shared" si="10"/>
        <v>0</v>
      </c>
      <c r="T28" s="51">
        <f t="shared" si="11"/>
        <v>0</v>
      </c>
      <c r="U28" s="52">
        <f t="shared" si="12"/>
        <v>0</v>
      </c>
      <c r="V28" s="53">
        <f t="shared" si="13"/>
        <v>0</v>
      </c>
      <c r="W28" s="47">
        <f t="shared" si="14"/>
        <v>0</v>
      </c>
      <c r="X28" s="54"/>
      <c r="Y28" s="17"/>
      <c r="Z28" s="55">
        <f t="shared" si="15"/>
        <v>1</v>
      </c>
      <c r="AA28" s="55">
        <f t="shared" si="16"/>
        <v>0</v>
      </c>
      <c r="AB28" s="58"/>
      <c r="AC28" s="19"/>
    </row>
    <row r="29" spans="1:29" ht="15.75" customHeight="1" x14ac:dyDescent="0.3">
      <c r="A29" s="12">
        <v>23</v>
      </c>
      <c r="B29" s="41"/>
      <c r="C29" s="41"/>
      <c r="D29" s="41"/>
      <c r="E29" s="41"/>
      <c r="F29" s="42"/>
      <c r="G29" s="43" t="str">
        <f t="shared" si="0"/>
        <v/>
      </c>
      <c r="H29" s="41"/>
      <c r="I29" s="41"/>
      <c r="J29" s="44">
        <f t="shared" si="1"/>
        <v>0</v>
      </c>
      <c r="K29" s="45">
        <f t="shared" si="2"/>
        <v>985</v>
      </c>
      <c r="L29" s="46">
        <f t="shared" si="3"/>
        <v>17</v>
      </c>
      <c r="M29" s="47" t="e">
        <f t="shared" si="4"/>
        <v>#VALUE!</v>
      </c>
      <c r="N29" s="48">
        <f t="shared" si="5"/>
        <v>0</v>
      </c>
      <c r="O29" s="49">
        <f t="shared" si="6"/>
        <v>0</v>
      </c>
      <c r="P29" s="49">
        <f t="shared" si="7"/>
        <v>0</v>
      </c>
      <c r="Q29" s="49">
        <f t="shared" si="8"/>
        <v>0</v>
      </c>
      <c r="R29" s="50">
        <f t="shared" si="9"/>
        <v>0</v>
      </c>
      <c r="S29" s="49">
        <f t="shared" si="10"/>
        <v>0</v>
      </c>
      <c r="T29" s="51">
        <f t="shared" si="11"/>
        <v>0</v>
      </c>
      <c r="U29" s="52">
        <f t="shared" si="12"/>
        <v>0</v>
      </c>
      <c r="V29" s="53">
        <f t="shared" si="13"/>
        <v>0</v>
      </c>
      <c r="W29" s="47">
        <f t="shared" si="14"/>
        <v>0</v>
      </c>
      <c r="X29" s="54"/>
      <c r="Y29" s="17"/>
      <c r="Z29" s="55">
        <f t="shared" si="15"/>
        <v>1</v>
      </c>
      <c r="AA29" s="55">
        <f t="shared" si="16"/>
        <v>0</v>
      </c>
      <c r="AB29" s="58"/>
      <c r="AC29" s="19"/>
    </row>
    <row r="30" spans="1:29" ht="15.75" customHeight="1" x14ac:dyDescent="0.3">
      <c r="A30" s="12">
        <v>24</v>
      </c>
      <c r="B30" s="41"/>
      <c r="C30" s="41"/>
      <c r="D30" s="41"/>
      <c r="E30" s="41"/>
      <c r="F30" s="42"/>
      <c r="G30" s="43" t="str">
        <f t="shared" si="0"/>
        <v/>
      </c>
      <c r="H30" s="41"/>
      <c r="I30" s="41"/>
      <c r="J30" s="44">
        <f t="shared" si="1"/>
        <v>0</v>
      </c>
      <c r="K30" s="45">
        <f t="shared" si="2"/>
        <v>985</v>
      </c>
      <c r="L30" s="46">
        <f t="shared" si="3"/>
        <v>17</v>
      </c>
      <c r="M30" s="47" t="e">
        <f t="shared" si="4"/>
        <v>#VALUE!</v>
      </c>
      <c r="N30" s="48">
        <f t="shared" si="5"/>
        <v>0</v>
      </c>
      <c r="O30" s="49">
        <f t="shared" si="6"/>
        <v>0</v>
      </c>
      <c r="P30" s="49">
        <f t="shared" si="7"/>
        <v>0</v>
      </c>
      <c r="Q30" s="49">
        <f t="shared" si="8"/>
        <v>0</v>
      </c>
      <c r="R30" s="50">
        <f t="shared" si="9"/>
        <v>0</v>
      </c>
      <c r="S30" s="49">
        <f t="shared" si="10"/>
        <v>0</v>
      </c>
      <c r="T30" s="51">
        <f t="shared" si="11"/>
        <v>0</v>
      </c>
      <c r="U30" s="52">
        <f t="shared" si="12"/>
        <v>0</v>
      </c>
      <c r="V30" s="53">
        <f t="shared" si="13"/>
        <v>0</v>
      </c>
      <c r="W30" s="47">
        <f t="shared" si="14"/>
        <v>0</v>
      </c>
      <c r="X30" s="54"/>
      <c r="Y30" s="17"/>
      <c r="Z30" s="55">
        <f t="shared" si="15"/>
        <v>1</v>
      </c>
      <c r="AA30" s="55">
        <f t="shared" si="16"/>
        <v>0</v>
      </c>
      <c r="AB30" s="58"/>
      <c r="AC30" s="19"/>
    </row>
    <row r="31" spans="1:29" ht="15.75" customHeight="1" x14ac:dyDescent="0.3">
      <c r="A31" s="12">
        <v>25</v>
      </c>
      <c r="B31" s="41"/>
      <c r="C31" s="41"/>
      <c r="D31" s="41"/>
      <c r="E31" s="41"/>
      <c r="F31" s="42"/>
      <c r="G31" s="43" t="str">
        <f t="shared" si="0"/>
        <v/>
      </c>
      <c r="H31" s="41"/>
      <c r="I31" s="41"/>
      <c r="J31" s="44">
        <f t="shared" si="1"/>
        <v>0</v>
      </c>
      <c r="K31" s="45">
        <f t="shared" si="2"/>
        <v>985</v>
      </c>
      <c r="L31" s="46">
        <f t="shared" si="3"/>
        <v>17</v>
      </c>
      <c r="M31" s="47" t="e">
        <f t="shared" si="4"/>
        <v>#VALUE!</v>
      </c>
      <c r="N31" s="48">
        <f t="shared" si="5"/>
        <v>0</v>
      </c>
      <c r="O31" s="49">
        <f t="shared" si="6"/>
        <v>0</v>
      </c>
      <c r="P31" s="49">
        <f t="shared" si="7"/>
        <v>0</v>
      </c>
      <c r="Q31" s="49">
        <f t="shared" si="8"/>
        <v>0</v>
      </c>
      <c r="R31" s="50">
        <f t="shared" si="9"/>
        <v>0</v>
      </c>
      <c r="S31" s="49">
        <f t="shared" si="10"/>
        <v>0</v>
      </c>
      <c r="T31" s="51">
        <f t="shared" si="11"/>
        <v>0</v>
      </c>
      <c r="U31" s="52">
        <f t="shared" si="12"/>
        <v>0</v>
      </c>
      <c r="V31" s="53">
        <f t="shared" si="13"/>
        <v>0</v>
      </c>
      <c r="W31" s="47">
        <f t="shared" si="14"/>
        <v>0</v>
      </c>
      <c r="X31" s="54"/>
      <c r="Y31" s="17"/>
      <c r="Z31" s="55">
        <f t="shared" si="15"/>
        <v>1</v>
      </c>
      <c r="AA31" s="55">
        <f t="shared" si="16"/>
        <v>0</v>
      </c>
      <c r="AB31" s="58"/>
      <c r="AC31" s="19"/>
    </row>
    <row r="32" spans="1:29" ht="15.75" customHeight="1" x14ac:dyDescent="0.3">
      <c r="A32" s="12">
        <v>26</v>
      </c>
      <c r="B32" s="41"/>
      <c r="C32" s="41"/>
      <c r="D32" s="41"/>
      <c r="E32" s="41"/>
      <c r="F32" s="42"/>
      <c r="G32" s="43" t="str">
        <f t="shared" si="0"/>
        <v/>
      </c>
      <c r="H32" s="41"/>
      <c r="I32" s="41"/>
      <c r="J32" s="44">
        <f t="shared" si="1"/>
        <v>0</v>
      </c>
      <c r="K32" s="45">
        <f t="shared" si="2"/>
        <v>985</v>
      </c>
      <c r="L32" s="46">
        <f t="shared" si="3"/>
        <v>17</v>
      </c>
      <c r="M32" s="47" t="e">
        <f t="shared" si="4"/>
        <v>#VALUE!</v>
      </c>
      <c r="N32" s="48">
        <f t="shared" si="5"/>
        <v>0</v>
      </c>
      <c r="O32" s="49">
        <f t="shared" si="6"/>
        <v>0</v>
      </c>
      <c r="P32" s="49">
        <f t="shared" si="7"/>
        <v>0</v>
      </c>
      <c r="Q32" s="49">
        <f t="shared" si="8"/>
        <v>0</v>
      </c>
      <c r="R32" s="50">
        <f t="shared" si="9"/>
        <v>0</v>
      </c>
      <c r="S32" s="49">
        <f t="shared" si="10"/>
        <v>0</v>
      </c>
      <c r="T32" s="51">
        <f t="shared" si="11"/>
        <v>0</v>
      </c>
      <c r="U32" s="52">
        <f t="shared" si="12"/>
        <v>0</v>
      </c>
      <c r="V32" s="53">
        <f t="shared" si="13"/>
        <v>0</v>
      </c>
      <c r="W32" s="47">
        <f t="shared" si="14"/>
        <v>0</v>
      </c>
      <c r="X32" s="54"/>
      <c r="Y32" s="17"/>
      <c r="Z32" s="55">
        <f t="shared" si="15"/>
        <v>1</v>
      </c>
      <c r="AA32" s="55">
        <f t="shared" si="16"/>
        <v>0</v>
      </c>
      <c r="AB32" s="58"/>
      <c r="AC32" s="19"/>
    </row>
    <row r="33" spans="1:29" ht="15.75" customHeight="1" x14ac:dyDescent="0.3">
      <c r="A33" s="12">
        <v>27</v>
      </c>
      <c r="B33" s="41"/>
      <c r="C33" s="41"/>
      <c r="D33" s="41"/>
      <c r="E33" s="41"/>
      <c r="F33" s="42"/>
      <c r="G33" s="43" t="str">
        <f t="shared" si="0"/>
        <v/>
      </c>
      <c r="H33" s="41"/>
      <c r="I33" s="41"/>
      <c r="J33" s="44">
        <f t="shared" si="1"/>
        <v>0</v>
      </c>
      <c r="K33" s="45">
        <f t="shared" si="2"/>
        <v>985</v>
      </c>
      <c r="L33" s="46">
        <f t="shared" si="3"/>
        <v>17</v>
      </c>
      <c r="M33" s="47" t="e">
        <f t="shared" si="4"/>
        <v>#VALUE!</v>
      </c>
      <c r="N33" s="48">
        <f t="shared" si="5"/>
        <v>0</v>
      </c>
      <c r="O33" s="49">
        <f t="shared" si="6"/>
        <v>0</v>
      </c>
      <c r="P33" s="49">
        <f t="shared" si="7"/>
        <v>0</v>
      </c>
      <c r="Q33" s="49">
        <f t="shared" si="8"/>
        <v>0</v>
      </c>
      <c r="R33" s="50">
        <f t="shared" si="9"/>
        <v>0</v>
      </c>
      <c r="S33" s="49">
        <f t="shared" si="10"/>
        <v>0</v>
      </c>
      <c r="T33" s="51">
        <f t="shared" si="11"/>
        <v>0</v>
      </c>
      <c r="U33" s="52">
        <f t="shared" si="12"/>
        <v>0</v>
      </c>
      <c r="V33" s="53">
        <f t="shared" si="13"/>
        <v>0</v>
      </c>
      <c r="W33" s="47">
        <f t="shared" si="14"/>
        <v>0</v>
      </c>
      <c r="X33" s="54"/>
      <c r="Y33" s="17"/>
      <c r="Z33" s="55">
        <f t="shared" si="15"/>
        <v>1</v>
      </c>
      <c r="AA33" s="55">
        <f t="shared" si="16"/>
        <v>0</v>
      </c>
      <c r="AB33" s="58"/>
      <c r="AC33" s="19"/>
    </row>
    <row r="34" spans="1:29" ht="15.75" customHeight="1" x14ac:dyDescent="0.3">
      <c r="A34" s="12">
        <v>28</v>
      </c>
      <c r="B34" s="41"/>
      <c r="C34" s="41"/>
      <c r="D34" s="41"/>
      <c r="E34" s="41"/>
      <c r="F34" s="42"/>
      <c r="G34" s="43" t="str">
        <f t="shared" si="0"/>
        <v/>
      </c>
      <c r="H34" s="41"/>
      <c r="I34" s="41"/>
      <c r="J34" s="44">
        <f t="shared" si="1"/>
        <v>0</v>
      </c>
      <c r="K34" s="45">
        <f t="shared" si="2"/>
        <v>985</v>
      </c>
      <c r="L34" s="46">
        <f t="shared" si="3"/>
        <v>17</v>
      </c>
      <c r="M34" s="47" t="e">
        <f t="shared" si="4"/>
        <v>#VALUE!</v>
      </c>
      <c r="N34" s="48">
        <f t="shared" si="5"/>
        <v>0</v>
      </c>
      <c r="O34" s="49">
        <f t="shared" si="6"/>
        <v>0</v>
      </c>
      <c r="P34" s="49">
        <f t="shared" si="7"/>
        <v>0</v>
      </c>
      <c r="Q34" s="49">
        <f t="shared" si="8"/>
        <v>0</v>
      </c>
      <c r="R34" s="50">
        <f t="shared" si="9"/>
        <v>0</v>
      </c>
      <c r="S34" s="49">
        <f t="shared" si="10"/>
        <v>0</v>
      </c>
      <c r="T34" s="51">
        <f t="shared" si="11"/>
        <v>0</v>
      </c>
      <c r="U34" s="52">
        <f t="shared" si="12"/>
        <v>0</v>
      </c>
      <c r="V34" s="53">
        <f t="shared" si="13"/>
        <v>0</v>
      </c>
      <c r="W34" s="47">
        <f t="shared" si="14"/>
        <v>0</v>
      </c>
      <c r="X34" s="54"/>
      <c r="Y34" s="17"/>
      <c r="Z34" s="55">
        <f t="shared" si="15"/>
        <v>1</v>
      </c>
      <c r="AA34" s="55">
        <f t="shared" si="16"/>
        <v>0</v>
      </c>
      <c r="AB34" s="58"/>
      <c r="AC34" s="19"/>
    </row>
    <row r="35" spans="1:29" ht="15.75" customHeight="1" x14ac:dyDescent="0.3">
      <c r="A35" s="12">
        <v>29</v>
      </c>
      <c r="B35" s="41"/>
      <c r="C35" s="41"/>
      <c r="D35" s="41"/>
      <c r="E35" s="41"/>
      <c r="F35" s="42"/>
      <c r="G35" s="43" t="str">
        <f t="shared" si="0"/>
        <v/>
      </c>
      <c r="H35" s="41"/>
      <c r="I35" s="41"/>
      <c r="J35" s="44">
        <f t="shared" si="1"/>
        <v>0</v>
      </c>
      <c r="K35" s="45">
        <f t="shared" si="2"/>
        <v>985</v>
      </c>
      <c r="L35" s="46">
        <f t="shared" si="3"/>
        <v>17</v>
      </c>
      <c r="M35" s="47" t="e">
        <f t="shared" si="4"/>
        <v>#VALUE!</v>
      </c>
      <c r="N35" s="48">
        <f t="shared" si="5"/>
        <v>0</v>
      </c>
      <c r="O35" s="49">
        <f t="shared" si="6"/>
        <v>0</v>
      </c>
      <c r="P35" s="49">
        <f t="shared" si="7"/>
        <v>0</v>
      </c>
      <c r="Q35" s="49">
        <f t="shared" si="8"/>
        <v>0</v>
      </c>
      <c r="R35" s="50">
        <f t="shared" si="9"/>
        <v>0</v>
      </c>
      <c r="S35" s="49">
        <f t="shared" si="10"/>
        <v>0</v>
      </c>
      <c r="T35" s="51">
        <f t="shared" si="11"/>
        <v>0</v>
      </c>
      <c r="U35" s="52">
        <f t="shared" si="12"/>
        <v>0</v>
      </c>
      <c r="V35" s="53">
        <f t="shared" si="13"/>
        <v>0</v>
      </c>
      <c r="W35" s="47">
        <f t="shared" si="14"/>
        <v>0</v>
      </c>
      <c r="X35" s="54"/>
      <c r="Y35" s="17"/>
      <c r="Z35" s="55">
        <f t="shared" si="15"/>
        <v>1</v>
      </c>
      <c r="AA35" s="55">
        <f t="shared" si="16"/>
        <v>0</v>
      </c>
      <c r="AB35" s="58"/>
      <c r="AC35" s="19"/>
    </row>
    <row r="36" spans="1:29" ht="15.75" customHeight="1" x14ac:dyDescent="0.3">
      <c r="A36" s="12">
        <v>30</v>
      </c>
      <c r="B36" s="41"/>
      <c r="C36" s="41"/>
      <c r="D36" s="41"/>
      <c r="E36" s="41"/>
      <c r="F36" s="42"/>
      <c r="G36" s="43" t="str">
        <f t="shared" si="0"/>
        <v/>
      </c>
      <c r="H36" s="41"/>
      <c r="I36" s="41"/>
      <c r="J36" s="44">
        <f t="shared" si="1"/>
        <v>0</v>
      </c>
      <c r="K36" s="45">
        <f t="shared" si="2"/>
        <v>985</v>
      </c>
      <c r="L36" s="46">
        <f t="shared" si="3"/>
        <v>17</v>
      </c>
      <c r="M36" s="47" t="e">
        <f t="shared" si="4"/>
        <v>#VALUE!</v>
      </c>
      <c r="N36" s="48">
        <f t="shared" si="5"/>
        <v>0</v>
      </c>
      <c r="O36" s="49">
        <f t="shared" si="6"/>
        <v>0</v>
      </c>
      <c r="P36" s="49">
        <f t="shared" si="7"/>
        <v>0</v>
      </c>
      <c r="Q36" s="49">
        <f t="shared" si="8"/>
        <v>0</v>
      </c>
      <c r="R36" s="50">
        <f t="shared" si="9"/>
        <v>0</v>
      </c>
      <c r="S36" s="49">
        <f t="shared" si="10"/>
        <v>0</v>
      </c>
      <c r="T36" s="51">
        <f t="shared" si="11"/>
        <v>0</v>
      </c>
      <c r="U36" s="52">
        <f t="shared" si="12"/>
        <v>0</v>
      </c>
      <c r="V36" s="53">
        <f t="shared" si="13"/>
        <v>0</v>
      </c>
      <c r="W36" s="47">
        <f t="shared" si="14"/>
        <v>0</v>
      </c>
      <c r="X36" s="54"/>
      <c r="Y36" s="17"/>
      <c r="Z36" s="55">
        <f t="shared" si="15"/>
        <v>1</v>
      </c>
      <c r="AA36" s="55">
        <f t="shared" si="16"/>
        <v>0</v>
      </c>
      <c r="AB36" s="58"/>
      <c r="AC36" s="19"/>
    </row>
    <row r="37" spans="1:29" ht="15.75" customHeight="1" x14ac:dyDescent="0.3">
      <c r="A37" s="12">
        <v>31</v>
      </c>
      <c r="B37" s="41"/>
      <c r="C37" s="41"/>
      <c r="D37" s="41"/>
      <c r="E37" s="41"/>
      <c r="F37" s="42"/>
      <c r="G37" s="43" t="str">
        <f t="shared" si="0"/>
        <v/>
      </c>
      <c r="H37" s="41"/>
      <c r="I37" s="41"/>
      <c r="J37" s="44">
        <f t="shared" si="1"/>
        <v>0</v>
      </c>
      <c r="K37" s="45">
        <f t="shared" si="2"/>
        <v>985</v>
      </c>
      <c r="L37" s="46">
        <f t="shared" si="3"/>
        <v>17</v>
      </c>
      <c r="M37" s="47" t="e">
        <f t="shared" si="4"/>
        <v>#VALUE!</v>
      </c>
      <c r="N37" s="48">
        <f t="shared" si="5"/>
        <v>0</v>
      </c>
      <c r="O37" s="49">
        <f t="shared" si="6"/>
        <v>0</v>
      </c>
      <c r="P37" s="49">
        <f t="shared" si="7"/>
        <v>0</v>
      </c>
      <c r="Q37" s="49">
        <f t="shared" si="8"/>
        <v>0</v>
      </c>
      <c r="R37" s="50">
        <f t="shared" si="9"/>
        <v>0</v>
      </c>
      <c r="S37" s="49">
        <f t="shared" si="10"/>
        <v>0</v>
      </c>
      <c r="T37" s="51">
        <f t="shared" si="11"/>
        <v>0</v>
      </c>
      <c r="U37" s="52">
        <f t="shared" si="12"/>
        <v>0</v>
      </c>
      <c r="V37" s="53">
        <f t="shared" si="13"/>
        <v>0</v>
      </c>
      <c r="W37" s="47">
        <f t="shared" si="14"/>
        <v>0</v>
      </c>
      <c r="X37" s="54"/>
      <c r="Y37" s="17"/>
      <c r="Z37" s="55">
        <f t="shared" si="15"/>
        <v>1</v>
      </c>
      <c r="AA37" s="55">
        <f t="shared" si="16"/>
        <v>0</v>
      </c>
      <c r="AB37" s="58"/>
      <c r="AC37" s="19"/>
    </row>
    <row r="38" spans="1:29" ht="15.75" customHeight="1" x14ac:dyDescent="0.35">
      <c r="A38" s="17"/>
      <c r="B38" s="60" t="s">
        <v>51</v>
      </c>
      <c r="C38" s="61"/>
      <c r="D38" s="61"/>
      <c r="E38" s="61"/>
      <c r="F38" s="61"/>
      <c r="G38" s="61"/>
      <c r="H38" s="61"/>
      <c r="I38" s="17"/>
      <c r="J38" s="17"/>
      <c r="K38" s="17"/>
      <c r="L38" s="17"/>
      <c r="M38" s="17"/>
      <c r="N38" s="17"/>
      <c r="O38" s="17"/>
      <c r="P38" s="17"/>
      <c r="Q38" s="17"/>
      <c r="R38" s="61"/>
      <c r="S38" s="17"/>
      <c r="T38" s="62">
        <f>SUM(T7:T37)</f>
        <v>-703.7065972222224</v>
      </c>
      <c r="U38" s="17"/>
      <c r="V38" s="17"/>
      <c r="W38" s="17"/>
      <c r="X38" s="63">
        <f>SUM(X7:X37)</f>
        <v>0</v>
      </c>
      <c r="Y38" s="98">
        <f>($N$3+T38)-X38</f>
        <v>9296.2934027777774</v>
      </c>
      <c r="Z38" s="95"/>
      <c r="AA38" s="96"/>
      <c r="AB38" s="19"/>
      <c r="AC38" s="19"/>
    </row>
    <row r="39" spans="1:29" ht="15.75" customHeight="1" x14ac:dyDescent="0.3">
      <c r="AC39" s="19"/>
    </row>
    <row r="40" spans="1:29" ht="15.75" customHeight="1" x14ac:dyDescent="0.3">
      <c r="A40" s="64" t="s">
        <v>76</v>
      </c>
    </row>
    <row r="41" spans="1:29" ht="21" customHeight="1" x14ac:dyDescent="0.3">
      <c r="B41" s="65" t="s">
        <v>53</v>
      </c>
      <c r="C41" s="66"/>
      <c r="D41" s="66"/>
    </row>
    <row r="42" spans="1:29" ht="15.75" customHeight="1" x14ac:dyDescent="0.3">
      <c r="B42" s="67" t="s">
        <v>54</v>
      </c>
      <c r="C42" s="40"/>
      <c r="D42" s="40"/>
    </row>
    <row r="43" spans="1:29" ht="15.75" customHeight="1" x14ac:dyDescent="0.3">
      <c r="B43" s="68" t="s">
        <v>55</v>
      </c>
      <c r="C43" s="69"/>
      <c r="D43" s="69"/>
    </row>
    <row r="44" spans="1:29" ht="15.75" customHeight="1" x14ac:dyDescent="0.3">
      <c r="B44" s="70" t="s">
        <v>21</v>
      </c>
      <c r="C44" s="40"/>
      <c r="D44" s="40"/>
    </row>
    <row r="45" spans="1:29" ht="15.75" customHeight="1" x14ac:dyDescent="0.3">
      <c r="B45" s="71">
        <v>0.31597222222222221</v>
      </c>
      <c r="C45" s="12" t="s">
        <v>56</v>
      </c>
      <c r="D45" s="72" t="s">
        <v>57</v>
      </c>
      <c r="E45" s="72"/>
      <c r="F45" s="72"/>
      <c r="G45" s="72"/>
      <c r="H45" s="72"/>
      <c r="I45" s="72"/>
      <c r="J45" s="72"/>
    </row>
    <row r="46" spans="1:29" ht="15.75" customHeight="1" x14ac:dyDescent="0.3">
      <c r="B46" s="71">
        <v>0.31666666666666665</v>
      </c>
      <c r="C46" s="12" t="s">
        <v>58</v>
      </c>
      <c r="D46" s="72" t="s">
        <v>59</v>
      </c>
      <c r="E46" s="72"/>
      <c r="F46" s="72"/>
      <c r="G46" s="72"/>
      <c r="H46" s="72"/>
      <c r="I46" s="72"/>
      <c r="J46" s="72"/>
    </row>
    <row r="47" spans="1:29" ht="15.75" customHeight="1" x14ac:dyDescent="0.3">
      <c r="B47" s="71">
        <v>0.31944444444444448</v>
      </c>
      <c r="C47" s="12" t="s">
        <v>60</v>
      </c>
      <c r="D47" s="72" t="s">
        <v>61</v>
      </c>
      <c r="E47" s="72"/>
      <c r="F47" s="72"/>
      <c r="G47" s="72"/>
      <c r="H47" s="72"/>
      <c r="I47" s="72"/>
      <c r="J47" s="72"/>
    </row>
    <row r="48" spans="1:29" ht="15.75" customHeight="1" x14ac:dyDescent="0.3">
      <c r="B48" s="71">
        <v>0.32291666666666669</v>
      </c>
      <c r="C48" s="12" t="s">
        <v>62</v>
      </c>
      <c r="D48" s="72" t="s">
        <v>63</v>
      </c>
      <c r="E48" s="72"/>
      <c r="F48" s="72"/>
      <c r="G48" s="72"/>
      <c r="H48" s="72"/>
      <c r="I48" s="72"/>
      <c r="J48" s="72"/>
    </row>
    <row r="49" spans="2:10" ht="15.75" customHeight="1" x14ac:dyDescent="0.3">
      <c r="B49" s="71">
        <v>0.32361111111111113</v>
      </c>
      <c r="C49" s="12" t="s">
        <v>64</v>
      </c>
      <c r="D49" s="72" t="s">
        <v>65</v>
      </c>
      <c r="E49" s="72"/>
      <c r="F49" s="72"/>
      <c r="G49" s="72"/>
      <c r="H49" s="72"/>
      <c r="I49" s="72"/>
      <c r="J49" s="72"/>
    </row>
    <row r="50" spans="2:10" ht="15.75" customHeight="1" x14ac:dyDescent="0.3">
      <c r="B50" s="71">
        <v>0.70833333333333337</v>
      </c>
      <c r="C50" s="12" t="s">
        <v>66</v>
      </c>
      <c r="D50" s="72" t="s">
        <v>67</v>
      </c>
      <c r="E50" s="72"/>
      <c r="F50" s="72"/>
      <c r="G50" s="72"/>
      <c r="H50" s="72"/>
      <c r="I50" s="72"/>
      <c r="J50" s="72"/>
    </row>
    <row r="51" spans="2:10" ht="15.75" customHeight="1" x14ac:dyDescent="0.3">
      <c r="B51" s="71">
        <v>0.72916666666666663</v>
      </c>
      <c r="C51" s="12" t="s">
        <v>68</v>
      </c>
      <c r="D51" s="72" t="s">
        <v>69</v>
      </c>
      <c r="E51" s="72"/>
      <c r="F51" s="72"/>
      <c r="G51" s="72"/>
      <c r="H51" s="72"/>
      <c r="I51" s="72"/>
      <c r="J51" s="72"/>
    </row>
    <row r="52" spans="2:10" ht="15.75" customHeight="1" x14ac:dyDescent="0.3">
      <c r="B52" s="71">
        <v>0.72986111111111107</v>
      </c>
      <c r="C52" s="12" t="s">
        <v>70</v>
      </c>
      <c r="D52" s="72" t="s">
        <v>71</v>
      </c>
      <c r="E52" s="72"/>
      <c r="F52" s="72"/>
      <c r="G52" s="72"/>
      <c r="H52" s="72"/>
      <c r="I52" s="72"/>
      <c r="J52" s="72"/>
    </row>
    <row r="53" spans="2:10" ht="15.75" customHeight="1" x14ac:dyDescent="0.3">
      <c r="B53" s="7" t="s">
        <v>72</v>
      </c>
      <c r="C53" s="73" t="s">
        <v>73</v>
      </c>
    </row>
    <row r="54" spans="2:10" ht="15.75" customHeight="1" x14ac:dyDescent="0.3">
      <c r="C54" s="73" t="s">
        <v>74</v>
      </c>
    </row>
    <row r="55" spans="2:10" ht="15.75" customHeight="1" x14ac:dyDescent="0.3">
      <c r="C55" s="73" t="s">
        <v>75</v>
      </c>
    </row>
    <row r="56" spans="2:10" ht="15.75" customHeight="1" x14ac:dyDescent="0.3">
      <c r="C56" s="12"/>
    </row>
    <row r="57" spans="2:10" ht="15.75" customHeight="1" x14ac:dyDescent="0.3">
      <c r="C57" s="12"/>
    </row>
    <row r="58" spans="2:10" ht="15.75" customHeight="1" x14ac:dyDescent="0.3">
      <c r="C58" s="12"/>
    </row>
    <row r="59" spans="2:10" ht="15.75" customHeight="1" x14ac:dyDescent="0.3">
      <c r="C59" s="12"/>
    </row>
    <row r="60" spans="2:10" ht="15.75" customHeight="1" x14ac:dyDescent="0.3">
      <c r="C60" s="12"/>
    </row>
    <row r="61" spans="2:10" ht="15.75" customHeight="1" x14ac:dyDescent="0.3">
      <c r="C61" s="12"/>
    </row>
    <row r="62" spans="2:10" ht="15.75" customHeight="1" x14ac:dyDescent="0.3">
      <c r="C62" s="12"/>
    </row>
    <row r="63" spans="2:10" ht="15.75" customHeight="1" x14ac:dyDescent="0.3">
      <c r="C63" s="12"/>
    </row>
    <row r="64" spans="2:10" ht="15.75" customHeight="1" x14ac:dyDescent="0.3">
      <c r="C64" s="12"/>
    </row>
    <row r="65" spans="3:3" ht="15.75" customHeight="1" x14ac:dyDescent="0.3">
      <c r="C65" s="12"/>
    </row>
    <row r="66" spans="3:3" ht="15.75" customHeight="1" x14ac:dyDescent="0.3">
      <c r="C66" s="12"/>
    </row>
    <row r="67" spans="3:3" ht="15.75" customHeight="1" x14ac:dyDescent="0.3">
      <c r="C67" s="12"/>
    </row>
    <row r="68" spans="3:3" ht="15.75" customHeight="1" x14ac:dyDescent="0.3">
      <c r="C68" s="12"/>
    </row>
    <row r="69" spans="3:3" ht="15.75" customHeight="1" x14ac:dyDescent="0.3">
      <c r="C69" s="12"/>
    </row>
    <row r="70" spans="3:3" ht="15.75" customHeight="1" x14ac:dyDescent="0.3">
      <c r="C70" s="12"/>
    </row>
    <row r="71" spans="3:3" ht="15.75" customHeight="1" x14ac:dyDescent="0.3">
      <c r="C71" s="12"/>
    </row>
    <row r="72" spans="3:3" ht="15.75" customHeight="1" x14ac:dyDescent="0.3">
      <c r="C72" s="12"/>
    </row>
    <row r="73" spans="3:3" ht="15.75" customHeight="1" x14ac:dyDescent="0.3">
      <c r="C73" s="12"/>
    </row>
    <row r="74" spans="3:3" ht="15.75" customHeight="1" x14ac:dyDescent="0.3">
      <c r="C74" s="12"/>
    </row>
    <row r="75" spans="3:3" ht="15.75" customHeight="1" x14ac:dyDescent="0.3">
      <c r="C75" s="12"/>
    </row>
    <row r="76" spans="3:3" ht="15.75" customHeight="1" x14ac:dyDescent="0.3">
      <c r="C76" s="12"/>
    </row>
    <row r="77" spans="3:3" ht="15.75" customHeight="1" x14ac:dyDescent="0.3">
      <c r="C77" s="12"/>
    </row>
    <row r="78" spans="3:3" ht="15.75" customHeight="1" x14ac:dyDescent="0.3">
      <c r="C78" s="12"/>
    </row>
    <row r="79" spans="3:3" ht="21" customHeight="1" x14ac:dyDescent="0.3">
      <c r="C79" s="12"/>
    </row>
    <row r="80" spans="3:3" ht="15.75" customHeight="1" x14ac:dyDescent="0.3">
      <c r="C80" s="12"/>
    </row>
    <row r="81" spans="3:3" ht="15.75" customHeight="1" x14ac:dyDescent="0.3">
      <c r="C81" s="12"/>
    </row>
    <row r="82" spans="3:3" ht="15.75" customHeight="1" x14ac:dyDescent="0.3">
      <c r="C82" s="12"/>
    </row>
    <row r="83" spans="3:3" ht="15.75" customHeight="1" x14ac:dyDescent="0.3">
      <c r="C83" s="12"/>
    </row>
    <row r="84" spans="3:3" ht="15.75" customHeight="1" x14ac:dyDescent="0.3">
      <c r="C84" s="12"/>
    </row>
    <row r="85" spans="3:3" ht="15.75" customHeight="1" x14ac:dyDescent="0.3">
      <c r="C85" s="12"/>
    </row>
    <row r="86" spans="3:3" ht="15.75" customHeight="1" x14ac:dyDescent="0.3">
      <c r="C86" s="12"/>
    </row>
    <row r="87" spans="3:3" ht="15.75" customHeight="1" x14ac:dyDescent="0.3">
      <c r="C87" s="12"/>
    </row>
    <row r="88" spans="3:3" ht="15.75" customHeight="1" x14ac:dyDescent="0.3">
      <c r="C88" s="12"/>
    </row>
    <row r="89" spans="3:3" ht="15.75" customHeight="1" x14ac:dyDescent="0.3">
      <c r="C89" s="12"/>
    </row>
    <row r="90" spans="3:3" ht="15.75" customHeight="1" x14ac:dyDescent="0.3">
      <c r="C90" s="12"/>
    </row>
    <row r="91" spans="3:3" ht="15.75" customHeight="1" x14ac:dyDescent="0.3">
      <c r="C91" s="12"/>
    </row>
    <row r="92" spans="3:3" ht="15.75" customHeight="1" x14ac:dyDescent="0.3">
      <c r="C92" s="12"/>
    </row>
    <row r="93" spans="3:3" ht="15.75" customHeight="1" x14ac:dyDescent="0.3">
      <c r="C93" s="12"/>
    </row>
    <row r="94" spans="3:3" ht="15.75" customHeight="1" x14ac:dyDescent="0.3">
      <c r="C94" s="12"/>
    </row>
    <row r="95" spans="3:3" ht="15.75" customHeight="1" x14ac:dyDescent="0.3">
      <c r="C95" s="12"/>
    </row>
    <row r="96" spans="3:3" ht="15.75" customHeight="1" x14ac:dyDescent="0.3">
      <c r="C96" s="12"/>
    </row>
    <row r="97" spans="3:3" ht="15.75" customHeight="1" x14ac:dyDescent="0.3">
      <c r="C97" s="12"/>
    </row>
    <row r="98" spans="3:3" ht="15.75" customHeight="1" x14ac:dyDescent="0.3">
      <c r="C98" s="12"/>
    </row>
    <row r="99" spans="3:3" ht="15.75" customHeight="1" x14ac:dyDescent="0.3">
      <c r="C99" s="12"/>
    </row>
    <row r="100" spans="3:3" ht="15.75" customHeight="1" x14ac:dyDescent="0.3">
      <c r="C100" s="12"/>
    </row>
    <row r="101" spans="3:3" ht="15.75" customHeight="1" x14ac:dyDescent="0.3">
      <c r="C101" s="12"/>
    </row>
    <row r="102" spans="3:3" ht="15.75" customHeight="1" x14ac:dyDescent="0.3">
      <c r="C102" s="12"/>
    </row>
    <row r="103" spans="3:3" ht="15.75" customHeight="1" x14ac:dyDescent="0.3">
      <c r="C103" s="12"/>
    </row>
    <row r="104" spans="3:3" ht="15.75" customHeight="1" x14ac:dyDescent="0.3">
      <c r="C104" s="12"/>
    </row>
    <row r="105" spans="3:3" ht="15.75" customHeight="1" x14ac:dyDescent="0.3">
      <c r="C105" s="12"/>
    </row>
    <row r="106" spans="3:3" ht="15.75" customHeight="1" x14ac:dyDescent="0.3">
      <c r="C106" s="12"/>
    </row>
    <row r="107" spans="3:3" ht="15.75" customHeight="1" x14ac:dyDescent="0.3">
      <c r="C107" s="12"/>
    </row>
    <row r="108" spans="3:3" ht="15.75" customHeight="1" x14ac:dyDescent="0.3">
      <c r="C108" s="12"/>
    </row>
    <row r="109" spans="3:3" ht="15.75" customHeight="1" x14ac:dyDescent="0.3">
      <c r="C109" s="12"/>
    </row>
    <row r="110" spans="3:3" ht="15.75" customHeight="1" x14ac:dyDescent="0.3">
      <c r="C110" s="12"/>
    </row>
    <row r="111" spans="3:3" ht="15.75" customHeight="1" x14ac:dyDescent="0.3">
      <c r="C111" s="12"/>
    </row>
    <row r="112" spans="3:3" ht="15.75" customHeight="1" x14ac:dyDescent="0.3">
      <c r="C112" s="12"/>
    </row>
    <row r="113" spans="3:3" ht="15.75" customHeight="1" x14ac:dyDescent="0.3">
      <c r="C113" s="12"/>
    </row>
    <row r="114" spans="3:3" ht="15.75" customHeight="1" x14ac:dyDescent="0.3">
      <c r="C114" s="12"/>
    </row>
    <row r="115" spans="3:3" ht="15.75" customHeight="1" x14ac:dyDescent="0.3">
      <c r="C115" s="12"/>
    </row>
    <row r="116" spans="3:3" ht="15.75" customHeight="1" x14ac:dyDescent="0.3">
      <c r="C116" s="12"/>
    </row>
    <row r="117" spans="3:3" ht="21" customHeight="1" x14ac:dyDescent="0.3">
      <c r="C117" s="12"/>
    </row>
    <row r="118" spans="3:3" ht="15.75" customHeight="1" x14ac:dyDescent="0.3">
      <c r="C118" s="12"/>
    </row>
    <row r="119" spans="3:3" ht="15.75" customHeight="1" x14ac:dyDescent="0.3">
      <c r="C119" s="12"/>
    </row>
    <row r="120" spans="3:3" ht="15.75" customHeight="1" x14ac:dyDescent="0.3">
      <c r="C120" s="12"/>
    </row>
    <row r="121" spans="3:3" ht="15.75" customHeight="1" x14ac:dyDescent="0.3">
      <c r="C121" s="12"/>
    </row>
    <row r="122" spans="3:3" ht="15.75" customHeight="1" x14ac:dyDescent="0.3">
      <c r="C122" s="12"/>
    </row>
    <row r="123" spans="3:3" ht="15.75" customHeight="1" x14ac:dyDescent="0.3">
      <c r="C123" s="12"/>
    </row>
    <row r="124" spans="3:3" ht="15.75" customHeight="1" x14ac:dyDescent="0.3">
      <c r="C124" s="12"/>
    </row>
    <row r="125" spans="3:3" ht="15.75" customHeight="1" x14ac:dyDescent="0.3">
      <c r="C125" s="12"/>
    </row>
    <row r="126" spans="3:3" ht="15.75" customHeight="1" x14ac:dyDescent="0.3">
      <c r="C126" s="12"/>
    </row>
    <row r="127" spans="3:3" ht="15.75" customHeight="1" x14ac:dyDescent="0.3">
      <c r="C127" s="12"/>
    </row>
    <row r="128" spans="3:3" ht="15.75" customHeight="1" x14ac:dyDescent="0.3">
      <c r="C128" s="12"/>
    </row>
    <row r="129" spans="3:3" ht="15.75" customHeight="1" x14ac:dyDescent="0.3">
      <c r="C129" s="12"/>
    </row>
    <row r="130" spans="3:3" ht="15.75" customHeight="1" x14ac:dyDescent="0.3">
      <c r="C130" s="12"/>
    </row>
    <row r="131" spans="3:3" ht="15.75" customHeight="1" x14ac:dyDescent="0.3">
      <c r="C131" s="12"/>
    </row>
    <row r="132" spans="3:3" ht="15.75" customHeight="1" x14ac:dyDescent="0.3">
      <c r="C132" s="12"/>
    </row>
    <row r="133" spans="3:3" ht="15.75" customHeight="1" x14ac:dyDescent="0.3">
      <c r="C133" s="12"/>
    </row>
    <row r="134" spans="3:3" ht="15.75" customHeight="1" x14ac:dyDescent="0.3">
      <c r="C134" s="12"/>
    </row>
    <row r="135" spans="3:3" ht="15.75" customHeight="1" x14ac:dyDescent="0.3">
      <c r="C135" s="12"/>
    </row>
    <row r="136" spans="3:3" ht="15.75" customHeight="1" x14ac:dyDescent="0.3">
      <c r="C136" s="12"/>
    </row>
    <row r="137" spans="3:3" ht="15.75" customHeight="1" x14ac:dyDescent="0.3">
      <c r="C137" s="12"/>
    </row>
    <row r="138" spans="3:3" ht="15.75" customHeight="1" x14ac:dyDescent="0.3">
      <c r="C138" s="12"/>
    </row>
    <row r="139" spans="3:3" ht="15.75" customHeight="1" x14ac:dyDescent="0.3">
      <c r="C139" s="12"/>
    </row>
    <row r="140" spans="3:3" ht="15.75" customHeight="1" x14ac:dyDescent="0.3">
      <c r="C140" s="12"/>
    </row>
    <row r="141" spans="3:3" ht="15.75" customHeight="1" x14ac:dyDescent="0.3">
      <c r="C141" s="12"/>
    </row>
    <row r="142" spans="3:3" ht="15.75" customHeight="1" x14ac:dyDescent="0.3">
      <c r="C142" s="12"/>
    </row>
    <row r="143" spans="3:3" ht="15.75" customHeight="1" x14ac:dyDescent="0.3">
      <c r="C143" s="12"/>
    </row>
    <row r="144" spans="3:3" ht="15.75" customHeight="1" x14ac:dyDescent="0.3">
      <c r="C144" s="12"/>
    </row>
    <row r="145" spans="3:3" ht="15.75" customHeight="1" x14ac:dyDescent="0.3">
      <c r="C145" s="12"/>
    </row>
    <row r="146" spans="3:3" ht="15.75" customHeight="1" x14ac:dyDescent="0.3">
      <c r="C146" s="12"/>
    </row>
    <row r="147" spans="3:3" ht="15.75" customHeight="1" x14ac:dyDescent="0.3">
      <c r="C147" s="12"/>
    </row>
    <row r="148" spans="3:3" ht="15.75" customHeight="1" x14ac:dyDescent="0.3">
      <c r="C148" s="12"/>
    </row>
    <row r="149" spans="3:3" ht="15.75" customHeight="1" x14ac:dyDescent="0.3">
      <c r="C149" s="12"/>
    </row>
    <row r="150" spans="3:3" ht="15.75" customHeight="1" x14ac:dyDescent="0.3">
      <c r="C150" s="12"/>
    </row>
    <row r="151" spans="3:3" ht="15.75" customHeight="1" x14ac:dyDescent="0.3">
      <c r="C151" s="12"/>
    </row>
    <row r="152" spans="3:3" ht="15.75" customHeight="1" x14ac:dyDescent="0.3">
      <c r="C152" s="12"/>
    </row>
    <row r="153" spans="3:3" ht="15.75" customHeight="1" x14ac:dyDescent="0.3">
      <c r="C153" s="12"/>
    </row>
    <row r="154" spans="3:3" ht="15.75" customHeight="1" x14ac:dyDescent="0.3">
      <c r="C154" s="12"/>
    </row>
    <row r="155" spans="3:3" ht="21" customHeight="1" x14ac:dyDescent="0.3">
      <c r="C155" s="12"/>
    </row>
    <row r="156" spans="3:3" ht="15.75" customHeight="1" x14ac:dyDescent="0.3">
      <c r="C156" s="12"/>
    </row>
    <row r="157" spans="3:3" ht="15.75" customHeight="1" x14ac:dyDescent="0.3">
      <c r="C157" s="12"/>
    </row>
    <row r="158" spans="3:3" ht="15.75" customHeight="1" x14ac:dyDescent="0.3">
      <c r="C158" s="12"/>
    </row>
    <row r="159" spans="3:3" ht="15.75" customHeight="1" x14ac:dyDescent="0.3">
      <c r="C159" s="12"/>
    </row>
    <row r="160" spans="3:3" ht="15.75" customHeight="1" x14ac:dyDescent="0.3">
      <c r="C160" s="12"/>
    </row>
    <row r="161" spans="3:3" ht="15.75" customHeight="1" x14ac:dyDescent="0.3">
      <c r="C161" s="12"/>
    </row>
    <row r="162" spans="3:3" ht="15.75" customHeight="1" x14ac:dyDescent="0.3">
      <c r="C162" s="12"/>
    </row>
    <row r="163" spans="3:3" ht="15.75" customHeight="1" x14ac:dyDescent="0.3">
      <c r="C163" s="12"/>
    </row>
    <row r="164" spans="3:3" ht="15.75" customHeight="1" x14ac:dyDescent="0.3">
      <c r="C164" s="12"/>
    </row>
    <row r="165" spans="3:3" ht="15.75" customHeight="1" x14ac:dyDescent="0.3">
      <c r="C165" s="12"/>
    </row>
    <row r="166" spans="3:3" ht="15.75" customHeight="1" x14ac:dyDescent="0.3">
      <c r="C166" s="12"/>
    </row>
    <row r="167" spans="3:3" ht="15.75" customHeight="1" x14ac:dyDescent="0.3">
      <c r="C167" s="12"/>
    </row>
    <row r="168" spans="3:3" ht="15.75" customHeight="1" x14ac:dyDescent="0.3">
      <c r="C168" s="12"/>
    </row>
    <row r="169" spans="3:3" ht="15.75" customHeight="1" x14ac:dyDescent="0.3">
      <c r="C169" s="12"/>
    </row>
    <row r="170" spans="3:3" ht="15.75" customHeight="1" x14ac:dyDescent="0.3">
      <c r="C170" s="12"/>
    </row>
    <row r="171" spans="3:3" ht="15.75" customHeight="1" x14ac:dyDescent="0.3">
      <c r="C171" s="12"/>
    </row>
    <row r="172" spans="3:3" ht="15.75" customHeight="1" x14ac:dyDescent="0.3">
      <c r="C172" s="12"/>
    </row>
    <row r="173" spans="3:3" ht="15.75" customHeight="1" x14ac:dyDescent="0.3">
      <c r="C173" s="12"/>
    </row>
    <row r="174" spans="3:3" ht="15.75" customHeight="1" x14ac:dyDescent="0.3">
      <c r="C174" s="12"/>
    </row>
    <row r="175" spans="3:3" ht="15.75" customHeight="1" x14ac:dyDescent="0.3">
      <c r="C175" s="12"/>
    </row>
    <row r="176" spans="3:3" ht="15.75" customHeight="1" x14ac:dyDescent="0.3">
      <c r="C176" s="12"/>
    </row>
    <row r="177" spans="3:3" ht="15.75" customHeight="1" x14ac:dyDescent="0.3">
      <c r="C177" s="12"/>
    </row>
    <row r="178" spans="3:3" ht="15.75" customHeight="1" x14ac:dyDescent="0.3">
      <c r="C178" s="12"/>
    </row>
    <row r="179" spans="3:3" ht="15.75" customHeight="1" x14ac:dyDescent="0.3">
      <c r="C179" s="12"/>
    </row>
    <row r="180" spans="3:3" ht="15.75" customHeight="1" x14ac:dyDescent="0.3">
      <c r="C180" s="12"/>
    </row>
    <row r="181" spans="3:3" ht="15.75" customHeight="1" x14ac:dyDescent="0.3">
      <c r="C181" s="12"/>
    </row>
    <row r="182" spans="3:3" ht="15.75" customHeight="1" x14ac:dyDescent="0.3">
      <c r="C182" s="12"/>
    </row>
    <row r="183" spans="3:3" ht="15.75" customHeight="1" x14ac:dyDescent="0.3">
      <c r="C183" s="12"/>
    </row>
    <row r="184" spans="3:3" ht="15.75" customHeight="1" x14ac:dyDescent="0.3">
      <c r="C184" s="12"/>
    </row>
    <row r="185" spans="3:3" ht="15.75" customHeight="1" x14ac:dyDescent="0.3">
      <c r="C185" s="12"/>
    </row>
    <row r="186" spans="3:3" ht="15.75" customHeight="1" x14ac:dyDescent="0.3">
      <c r="C186" s="12"/>
    </row>
    <row r="187" spans="3:3" ht="15.75" customHeight="1" x14ac:dyDescent="0.3">
      <c r="C187" s="12"/>
    </row>
    <row r="188" spans="3:3" ht="15.75" customHeight="1" x14ac:dyDescent="0.3">
      <c r="C188" s="12"/>
    </row>
    <row r="189" spans="3:3" ht="15.75" customHeight="1" x14ac:dyDescent="0.3">
      <c r="C189" s="12"/>
    </row>
    <row r="190" spans="3:3" ht="15.75" customHeight="1" x14ac:dyDescent="0.3">
      <c r="C190" s="12"/>
    </row>
    <row r="191" spans="3:3" ht="15.75" customHeight="1" x14ac:dyDescent="0.3">
      <c r="C191" s="12"/>
    </row>
    <row r="192" spans="3:3" ht="15.75" customHeight="1" x14ac:dyDescent="0.3">
      <c r="C192" s="12"/>
    </row>
    <row r="193" spans="3:3" ht="21" customHeight="1" x14ac:dyDescent="0.3">
      <c r="C193" s="12"/>
    </row>
    <row r="194" spans="3:3" ht="15.75" customHeight="1" x14ac:dyDescent="0.3">
      <c r="C194" s="12"/>
    </row>
    <row r="195" spans="3:3" ht="15.75" customHeight="1" x14ac:dyDescent="0.3">
      <c r="C195" s="12"/>
    </row>
    <row r="196" spans="3:3" ht="15.75" customHeight="1" x14ac:dyDescent="0.3">
      <c r="C196" s="12"/>
    </row>
    <row r="197" spans="3:3" ht="15.75" customHeight="1" x14ac:dyDescent="0.3">
      <c r="C197" s="12"/>
    </row>
    <row r="198" spans="3:3" ht="15.75" customHeight="1" x14ac:dyDescent="0.3">
      <c r="C198" s="12"/>
    </row>
    <row r="199" spans="3:3" ht="15.75" customHeight="1" x14ac:dyDescent="0.3">
      <c r="C199" s="12"/>
    </row>
    <row r="200" spans="3:3" ht="15.75" customHeight="1" x14ac:dyDescent="0.3">
      <c r="C200" s="12"/>
    </row>
    <row r="201" spans="3:3" ht="15.75" customHeight="1" x14ac:dyDescent="0.3">
      <c r="C201" s="12"/>
    </row>
    <row r="202" spans="3:3" ht="15.75" customHeight="1" x14ac:dyDescent="0.3">
      <c r="C202" s="12"/>
    </row>
    <row r="203" spans="3:3" ht="15.75" customHeight="1" x14ac:dyDescent="0.3">
      <c r="C203" s="12"/>
    </row>
    <row r="204" spans="3:3" ht="15.75" customHeight="1" x14ac:dyDescent="0.3">
      <c r="C204" s="12"/>
    </row>
    <row r="205" spans="3:3" ht="15.75" customHeight="1" x14ac:dyDescent="0.3">
      <c r="C205" s="12"/>
    </row>
    <row r="206" spans="3:3" ht="15.75" customHeight="1" x14ac:dyDescent="0.3">
      <c r="C206" s="12"/>
    </row>
    <row r="207" spans="3:3" ht="15.75" customHeight="1" x14ac:dyDescent="0.3">
      <c r="C207" s="12"/>
    </row>
    <row r="208" spans="3:3" ht="15.75" customHeight="1" x14ac:dyDescent="0.3">
      <c r="C208" s="12"/>
    </row>
    <row r="209" spans="3:3" ht="15.75" customHeight="1" x14ac:dyDescent="0.3">
      <c r="C209" s="12"/>
    </row>
    <row r="210" spans="3:3" ht="15.75" customHeight="1" x14ac:dyDescent="0.3">
      <c r="C210" s="12"/>
    </row>
    <row r="211" spans="3:3" ht="15.75" customHeight="1" x14ac:dyDescent="0.3">
      <c r="C211" s="12"/>
    </row>
    <row r="212" spans="3:3" ht="15.75" customHeight="1" x14ac:dyDescent="0.3">
      <c r="C212" s="12"/>
    </row>
    <row r="213" spans="3:3" ht="15.75" customHeight="1" x14ac:dyDescent="0.3">
      <c r="C213" s="12"/>
    </row>
    <row r="214" spans="3:3" ht="15.75" customHeight="1" x14ac:dyDescent="0.3">
      <c r="C214" s="12"/>
    </row>
    <row r="215" spans="3:3" ht="15.75" customHeight="1" x14ac:dyDescent="0.3">
      <c r="C215" s="12"/>
    </row>
    <row r="216" spans="3:3" ht="15.75" customHeight="1" x14ac:dyDescent="0.3">
      <c r="C216" s="12"/>
    </row>
    <row r="217" spans="3:3" ht="15.75" customHeight="1" x14ac:dyDescent="0.3">
      <c r="C217" s="12"/>
    </row>
    <row r="218" spans="3:3" ht="15.75" customHeight="1" x14ac:dyDescent="0.3">
      <c r="C218" s="12"/>
    </row>
    <row r="219" spans="3:3" ht="15.75" customHeight="1" x14ac:dyDescent="0.3">
      <c r="C219" s="12"/>
    </row>
    <row r="220" spans="3:3" ht="15.75" customHeight="1" x14ac:dyDescent="0.3">
      <c r="C220" s="12"/>
    </row>
    <row r="221" spans="3:3" ht="15.75" customHeight="1" x14ac:dyDescent="0.3">
      <c r="C221" s="12"/>
    </row>
    <row r="222" spans="3:3" ht="15.75" customHeight="1" x14ac:dyDescent="0.3">
      <c r="C222" s="12"/>
    </row>
    <row r="223" spans="3:3" ht="15.75" customHeight="1" x14ac:dyDescent="0.3">
      <c r="C223" s="12"/>
    </row>
    <row r="224" spans="3:3" ht="15.75" customHeight="1" x14ac:dyDescent="0.3">
      <c r="C224" s="12"/>
    </row>
    <row r="225" spans="3:3" ht="15.75" customHeight="1" x14ac:dyDescent="0.3">
      <c r="C225" s="12"/>
    </row>
    <row r="226" spans="3:3" ht="15.75" customHeight="1" x14ac:dyDescent="0.3">
      <c r="C226" s="12"/>
    </row>
    <row r="227" spans="3:3" ht="15.75" customHeight="1" x14ac:dyDescent="0.3">
      <c r="C227" s="12"/>
    </row>
    <row r="228" spans="3:3" ht="15.75" customHeight="1" x14ac:dyDescent="0.3">
      <c r="C228" s="12"/>
    </row>
    <row r="229" spans="3:3" ht="15.75" customHeight="1" x14ac:dyDescent="0.3">
      <c r="C229" s="12"/>
    </row>
    <row r="230" spans="3:3" ht="15.75" customHeight="1" x14ac:dyDescent="0.3">
      <c r="C230" s="12"/>
    </row>
    <row r="231" spans="3:3" ht="21" customHeight="1" x14ac:dyDescent="0.3">
      <c r="C231" s="12"/>
    </row>
    <row r="232" spans="3:3" ht="15.75" customHeight="1" x14ac:dyDescent="0.3">
      <c r="C232" s="12"/>
    </row>
    <row r="233" spans="3:3" ht="15.75" customHeight="1" x14ac:dyDescent="0.3">
      <c r="C233" s="12"/>
    </row>
    <row r="234" spans="3:3" ht="15.75" customHeight="1" x14ac:dyDescent="0.3">
      <c r="C234" s="12"/>
    </row>
    <row r="235" spans="3:3" ht="15.75" customHeight="1" x14ac:dyDescent="0.3">
      <c r="C235" s="12"/>
    </row>
    <row r="236" spans="3:3" ht="15.75" customHeight="1" x14ac:dyDescent="0.3">
      <c r="C236" s="12"/>
    </row>
    <row r="237" spans="3:3" ht="15.75" customHeight="1" x14ac:dyDescent="0.3">
      <c r="C237" s="12"/>
    </row>
    <row r="238" spans="3:3" ht="15.75" customHeight="1" x14ac:dyDescent="0.3">
      <c r="C238" s="12"/>
    </row>
    <row r="239" spans="3:3" ht="15.75" customHeight="1" x14ac:dyDescent="0.3">
      <c r="C239" s="12"/>
    </row>
    <row r="240" spans="3:3" ht="15.75" customHeight="1" x14ac:dyDescent="0.3">
      <c r="C240" s="12"/>
    </row>
    <row r="241" spans="3:3" ht="15.75" customHeight="1" x14ac:dyDescent="0.3">
      <c r="C241" s="12"/>
    </row>
    <row r="242" spans="3:3" ht="15.75" customHeight="1" x14ac:dyDescent="0.3">
      <c r="C242" s="12"/>
    </row>
    <row r="243" spans="3:3" ht="15.75" customHeight="1" x14ac:dyDescent="0.3">
      <c r="C243" s="12"/>
    </row>
    <row r="244" spans="3:3" ht="15.75" customHeight="1" x14ac:dyDescent="0.3">
      <c r="C244" s="12"/>
    </row>
    <row r="245" spans="3:3" ht="15.75" customHeight="1" x14ac:dyDescent="0.3">
      <c r="C245" s="12"/>
    </row>
    <row r="246" spans="3:3" ht="15.75" customHeight="1" x14ac:dyDescent="0.3">
      <c r="C246" s="12"/>
    </row>
    <row r="247" spans="3:3" ht="15.75" customHeight="1" x14ac:dyDescent="0.3">
      <c r="C247" s="12"/>
    </row>
    <row r="248" spans="3:3" ht="15.75" customHeight="1" x14ac:dyDescent="0.3">
      <c r="C248" s="12"/>
    </row>
    <row r="249" spans="3:3" ht="15.75" customHeight="1" x14ac:dyDescent="0.3">
      <c r="C249" s="12"/>
    </row>
    <row r="250" spans="3:3" ht="15.75" customHeight="1" x14ac:dyDescent="0.3">
      <c r="C250" s="12"/>
    </row>
    <row r="251" spans="3:3" ht="15.75" customHeight="1" x14ac:dyDescent="0.3">
      <c r="C251" s="12"/>
    </row>
    <row r="252" spans="3:3" ht="15.75" customHeight="1" x14ac:dyDescent="0.3">
      <c r="C252" s="12"/>
    </row>
    <row r="253" spans="3:3" ht="15.75" customHeight="1" x14ac:dyDescent="0.3">
      <c r="C253" s="12"/>
    </row>
    <row r="254" spans="3:3" ht="15.75" customHeight="1" x14ac:dyDescent="0.3">
      <c r="C254" s="12"/>
    </row>
    <row r="255" spans="3:3" ht="15.75" customHeight="1" x14ac:dyDescent="0.3">
      <c r="C255" s="12"/>
    </row>
    <row r="256" spans="3:3" ht="15.75" customHeight="1" x14ac:dyDescent="0.3">
      <c r="C256" s="12"/>
    </row>
    <row r="257" spans="3:3" ht="15.75" customHeight="1" x14ac:dyDescent="0.3">
      <c r="C257" s="12"/>
    </row>
    <row r="258" spans="3:3" ht="15.75" customHeight="1" x14ac:dyDescent="0.3">
      <c r="C258" s="12"/>
    </row>
    <row r="259" spans="3:3" ht="15.75" customHeight="1" x14ac:dyDescent="0.3">
      <c r="C259" s="12"/>
    </row>
    <row r="260" spans="3:3" ht="15.75" customHeight="1" x14ac:dyDescent="0.3">
      <c r="C260" s="12"/>
    </row>
    <row r="261" spans="3:3" ht="15.75" customHeight="1" x14ac:dyDescent="0.3">
      <c r="C261" s="12"/>
    </row>
    <row r="262" spans="3:3" ht="15.75" customHeight="1" x14ac:dyDescent="0.3">
      <c r="C262" s="12"/>
    </row>
    <row r="263" spans="3:3" ht="15.75" customHeight="1" x14ac:dyDescent="0.3">
      <c r="C263" s="12"/>
    </row>
    <row r="264" spans="3:3" ht="15.75" customHeight="1" x14ac:dyDescent="0.3">
      <c r="C264" s="12"/>
    </row>
    <row r="265" spans="3:3" ht="15.75" customHeight="1" x14ac:dyDescent="0.3">
      <c r="C265" s="12"/>
    </row>
    <row r="266" spans="3:3" ht="15.75" customHeight="1" x14ac:dyDescent="0.3">
      <c r="C266" s="12"/>
    </row>
    <row r="267" spans="3:3" ht="15.75" customHeight="1" x14ac:dyDescent="0.3">
      <c r="C267" s="12"/>
    </row>
    <row r="268" spans="3:3" ht="15.75" customHeight="1" x14ac:dyDescent="0.3">
      <c r="C268" s="12"/>
    </row>
    <row r="269" spans="3:3" ht="15.75" customHeight="1" x14ac:dyDescent="0.3">
      <c r="C269" s="12"/>
    </row>
    <row r="270" spans="3:3" ht="15.75" customHeight="1" x14ac:dyDescent="0.3">
      <c r="C270" s="12"/>
    </row>
    <row r="271" spans="3:3" ht="15.75" customHeight="1" x14ac:dyDescent="0.3">
      <c r="C271" s="12"/>
    </row>
    <row r="272" spans="3:3" ht="15.75" customHeight="1" x14ac:dyDescent="0.3">
      <c r="C272" s="12"/>
    </row>
    <row r="273" spans="3:3" ht="15.75" customHeight="1" x14ac:dyDescent="0.3">
      <c r="C273" s="12"/>
    </row>
    <row r="274" spans="3:3" ht="15.75" customHeight="1" x14ac:dyDescent="0.3">
      <c r="C274" s="12"/>
    </row>
    <row r="275" spans="3:3" ht="15.75" customHeight="1" x14ac:dyDescent="0.3">
      <c r="C275" s="12"/>
    </row>
    <row r="276" spans="3:3" ht="15.75" customHeight="1" x14ac:dyDescent="0.3">
      <c r="C276" s="12"/>
    </row>
    <row r="277" spans="3:3" ht="15.75" customHeight="1" x14ac:dyDescent="0.3">
      <c r="C277" s="12"/>
    </row>
    <row r="278" spans="3:3" ht="15.75" customHeight="1" x14ac:dyDescent="0.3">
      <c r="C278" s="12"/>
    </row>
    <row r="279" spans="3:3" ht="15.75" customHeight="1" x14ac:dyDescent="0.3">
      <c r="C279" s="12"/>
    </row>
    <row r="280" spans="3:3" ht="15.75" customHeight="1" x14ac:dyDescent="0.3">
      <c r="C280" s="12"/>
    </row>
    <row r="281" spans="3:3" ht="15.75" customHeight="1" x14ac:dyDescent="0.3">
      <c r="C281" s="12"/>
    </row>
    <row r="282" spans="3:3" ht="15.75" customHeight="1" x14ac:dyDescent="0.3">
      <c r="C282" s="12"/>
    </row>
    <row r="283" spans="3:3" ht="15.75" customHeight="1" x14ac:dyDescent="0.3">
      <c r="C283" s="12"/>
    </row>
    <row r="284" spans="3:3" ht="15.75" customHeight="1" x14ac:dyDescent="0.3">
      <c r="C284" s="12"/>
    </row>
    <row r="285" spans="3:3" ht="15.75" customHeight="1" x14ac:dyDescent="0.3">
      <c r="C285" s="12"/>
    </row>
    <row r="286" spans="3:3" ht="15.75" customHeight="1" x14ac:dyDescent="0.3">
      <c r="C286" s="12"/>
    </row>
    <row r="287" spans="3:3" ht="15.75" customHeight="1" x14ac:dyDescent="0.3">
      <c r="C287" s="12"/>
    </row>
    <row r="288" spans="3:3" ht="15.75" customHeight="1" x14ac:dyDescent="0.3">
      <c r="C288" s="12"/>
    </row>
    <row r="289" spans="3:3" ht="15.75" customHeight="1" x14ac:dyDescent="0.3">
      <c r="C289" s="12"/>
    </row>
    <row r="290" spans="3:3" ht="15.75" customHeight="1" x14ac:dyDescent="0.3">
      <c r="C290" s="12"/>
    </row>
    <row r="291" spans="3:3" ht="15.75" customHeight="1" x14ac:dyDescent="0.3">
      <c r="C291" s="12"/>
    </row>
    <row r="292" spans="3:3" ht="15.75" customHeight="1" x14ac:dyDescent="0.3">
      <c r="C292" s="12"/>
    </row>
    <row r="293" spans="3:3" ht="15.75" customHeight="1" x14ac:dyDescent="0.3">
      <c r="C293" s="12"/>
    </row>
    <row r="294" spans="3:3" ht="15.75" customHeight="1" x14ac:dyDescent="0.3">
      <c r="C294" s="12"/>
    </row>
    <row r="295" spans="3:3" ht="15.75" customHeight="1" x14ac:dyDescent="0.3">
      <c r="C295" s="12"/>
    </row>
    <row r="296" spans="3:3" ht="15.75" customHeight="1" x14ac:dyDescent="0.3">
      <c r="C296" s="12"/>
    </row>
    <row r="297" spans="3:3" ht="15.75" customHeight="1" x14ac:dyDescent="0.3">
      <c r="C297" s="12"/>
    </row>
    <row r="298" spans="3:3" ht="15.75" customHeight="1" x14ac:dyDescent="0.3">
      <c r="C298" s="12"/>
    </row>
    <row r="299" spans="3:3" ht="15.75" customHeight="1" x14ac:dyDescent="0.3">
      <c r="C299" s="12"/>
    </row>
    <row r="300" spans="3:3" ht="15.75" customHeight="1" x14ac:dyDescent="0.3">
      <c r="C300" s="12"/>
    </row>
    <row r="301" spans="3:3" ht="15.75" customHeight="1" x14ac:dyDescent="0.3">
      <c r="C301" s="12"/>
    </row>
    <row r="302" spans="3:3" ht="15.75" customHeight="1" x14ac:dyDescent="0.3">
      <c r="C302" s="12"/>
    </row>
    <row r="303" spans="3:3" ht="15.75" customHeight="1" x14ac:dyDescent="0.3">
      <c r="C303" s="12"/>
    </row>
    <row r="304" spans="3:3" ht="15.75" customHeight="1" x14ac:dyDescent="0.3">
      <c r="C304" s="12"/>
    </row>
    <row r="305" spans="3:3" ht="15.75" customHeight="1" x14ac:dyDescent="0.3">
      <c r="C305" s="12"/>
    </row>
    <row r="306" spans="3:3" ht="15.75" customHeight="1" x14ac:dyDescent="0.3">
      <c r="C306" s="12"/>
    </row>
    <row r="307" spans="3:3" ht="15.75" customHeight="1" x14ac:dyDescent="0.3">
      <c r="C307" s="12"/>
    </row>
    <row r="308" spans="3:3" ht="15.75" customHeight="1" x14ac:dyDescent="0.3">
      <c r="C308" s="12"/>
    </row>
    <row r="309" spans="3:3" ht="15.75" customHeight="1" x14ac:dyDescent="0.3">
      <c r="C309" s="12"/>
    </row>
    <row r="310" spans="3:3" ht="15.75" customHeight="1" x14ac:dyDescent="0.3">
      <c r="C310" s="12"/>
    </row>
    <row r="311" spans="3:3" ht="15.75" customHeight="1" x14ac:dyDescent="0.3">
      <c r="C311" s="12"/>
    </row>
    <row r="312" spans="3:3" ht="15.75" customHeight="1" x14ac:dyDescent="0.3">
      <c r="C312" s="12"/>
    </row>
    <row r="313" spans="3:3" ht="15.75" customHeight="1" x14ac:dyDescent="0.3">
      <c r="C313" s="12"/>
    </row>
    <row r="314" spans="3:3" ht="15.75" customHeight="1" x14ac:dyDescent="0.3">
      <c r="C314" s="12"/>
    </row>
    <row r="315" spans="3:3" ht="15.75" customHeight="1" x14ac:dyDescent="0.3">
      <c r="C315" s="12"/>
    </row>
    <row r="316" spans="3:3" ht="15.75" customHeight="1" x14ac:dyDescent="0.3">
      <c r="C316" s="12"/>
    </row>
    <row r="317" spans="3:3" ht="15.75" customHeight="1" x14ac:dyDescent="0.3">
      <c r="C317" s="12"/>
    </row>
    <row r="318" spans="3:3" ht="15.75" customHeight="1" x14ac:dyDescent="0.3">
      <c r="C318" s="12"/>
    </row>
    <row r="319" spans="3:3" ht="15.75" customHeight="1" x14ac:dyDescent="0.3">
      <c r="C319" s="12"/>
    </row>
    <row r="320" spans="3:3" ht="15.75" customHeight="1" x14ac:dyDescent="0.3">
      <c r="C320" s="12"/>
    </row>
    <row r="321" spans="3:3" ht="15.75" customHeight="1" x14ac:dyDescent="0.3">
      <c r="C321" s="12"/>
    </row>
    <row r="322" spans="3:3" ht="15.75" customHeight="1" x14ac:dyDescent="0.3">
      <c r="C322" s="12"/>
    </row>
    <row r="323" spans="3:3" ht="15.75" customHeight="1" x14ac:dyDescent="0.3">
      <c r="C323" s="12"/>
    </row>
    <row r="324" spans="3:3" ht="15.75" customHeight="1" x14ac:dyDescent="0.3">
      <c r="C324" s="12"/>
    </row>
    <row r="325" spans="3:3" ht="15.75" customHeight="1" x14ac:dyDescent="0.3">
      <c r="C325" s="12"/>
    </row>
    <row r="326" spans="3:3" ht="15.75" customHeight="1" x14ac:dyDescent="0.3">
      <c r="C326" s="12"/>
    </row>
    <row r="327" spans="3:3" ht="15.75" customHeight="1" x14ac:dyDescent="0.3">
      <c r="C327" s="12"/>
    </row>
    <row r="328" spans="3:3" ht="15.75" customHeight="1" x14ac:dyDescent="0.3">
      <c r="C328" s="12"/>
    </row>
    <row r="329" spans="3:3" ht="15.75" customHeight="1" x14ac:dyDescent="0.3">
      <c r="C329" s="12"/>
    </row>
    <row r="330" spans="3:3" ht="15.75" customHeight="1" x14ac:dyDescent="0.3">
      <c r="C330" s="12"/>
    </row>
    <row r="331" spans="3:3" ht="15.75" customHeight="1" x14ac:dyDescent="0.3">
      <c r="C331" s="12"/>
    </row>
    <row r="332" spans="3:3" ht="15.75" customHeight="1" x14ac:dyDescent="0.3">
      <c r="C332" s="12"/>
    </row>
    <row r="333" spans="3:3" ht="15.75" customHeight="1" x14ac:dyDescent="0.3">
      <c r="C333" s="12"/>
    </row>
    <row r="334" spans="3:3" ht="15.75" customHeight="1" x14ac:dyDescent="0.3">
      <c r="C334" s="12"/>
    </row>
    <row r="335" spans="3:3" ht="15.75" customHeight="1" x14ac:dyDescent="0.3">
      <c r="C335" s="12"/>
    </row>
    <row r="336" spans="3:3" ht="15.75" customHeight="1" x14ac:dyDescent="0.3">
      <c r="C336" s="12"/>
    </row>
    <row r="337" spans="3:3" ht="15.75" customHeight="1" x14ac:dyDescent="0.3">
      <c r="C337" s="12"/>
    </row>
    <row r="338" spans="3:3" ht="15.75" customHeight="1" x14ac:dyDescent="0.3">
      <c r="C338" s="12"/>
    </row>
    <row r="339" spans="3:3" ht="15.75" customHeight="1" x14ac:dyDescent="0.3">
      <c r="C339" s="12"/>
    </row>
    <row r="340" spans="3:3" ht="15.75" customHeight="1" x14ac:dyDescent="0.3">
      <c r="C340" s="12"/>
    </row>
    <row r="341" spans="3:3" ht="15.75" customHeight="1" x14ac:dyDescent="0.3">
      <c r="C341" s="12"/>
    </row>
    <row r="342" spans="3:3" ht="15.75" customHeight="1" x14ac:dyDescent="0.3">
      <c r="C342" s="12"/>
    </row>
    <row r="343" spans="3:3" ht="15.75" customHeight="1" x14ac:dyDescent="0.3">
      <c r="C343" s="12"/>
    </row>
    <row r="344" spans="3:3" ht="15.75" customHeight="1" x14ac:dyDescent="0.3">
      <c r="C344" s="12"/>
    </row>
    <row r="345" spans="3:3" ht="15.75" customHeight="1" x14ac:dyDescent="0.3">
      <c r="C345" s="12"/>
    </row>
    <row r="346" spans="3:3" ht="15.75" customHeight="1" x14ac:dyDescent="0.3">
      <c r="C346" s="12"/>
    </row>
    <row r="347" spans="3:3" ht="15.75" customHeight="1" x14ac:dyDescent="0.3">
      <c r="C347" s="12"/>
    </row>
    <row r="348" spans="3:3" ht="15.75" customHeight="1" x14ac:dyDescent="0.3">
      <c r="C348" s="12"/>
    </row>
    <row r="349" spans="3:3" ht="15.75" customHeight="1" x14ac:dyDescent="0.3">
      <c r="C349" s="12"/>
    </row>
    <row r="350" spans="3:3" ht="15.75" customHeight="1" x14ac:dyDescent="0.3">
      <c r="C350" s="12"/>
    </row>
    <row r="351" spans="3:3" ht="15.75" customHeight="1" x14ac:dyDescent="0.3">
      <c r="C351" s="12"/>
    </row>
    <row r="352" spans="3:3" ht="15.75" customHeight="1" x14ac:dyDescent="0.3">
      <c r="C352" s="12"/>
    </row>
    <row r="353" spans="3:3" ht="15.75" customHeight="1" x14ac:dyDescent="0.3">
      <c r="C353" s="12"/>
    </row>
    <row r="354" spans="3:3" ht="15.75" customHeight="1" x14ac:dyDescent="0.3">
      <c r="C354" s="12"/>
    </row>
    <row r="355" spans="3:3" ht="15.75" customHeight="1" x14ac:dyDescent="0.3">
      <c r="C355" s="12"/>
    </row>
    <row r="356" spans="3:3" ht="15.75" customHeight="1" x14ac:dyDescent="0.3">
      <c r="C356" s="12"/>
    </row>
    <row r="357" spans="3:3" ht="15.75" customHeight="1" x14ac:dyDescent="0.3">
      <c r="C357" s="12"/>
    </row>
    <row r="358" spans="3:3" ht="15.75" customHeight="1" x14ac:dyDescent="0.3">
      <c r="C358" s="12"/>
    </row>
    <row r="359" spans="3:3" ht="15.75" customHeight="1" x14ac:dyDescent="0.3">
      <c r="C359" s="12"/>
    </row>
    <row r="360" spans="3:3" ht="15.75" customHeight="1" x14ac:dyDescent="0.3">
      <c r="C360" s="12"/>
    </row>
    <row r="361" spans="3:3" ht="15.75" customHeight="1" x14ac:dyDescent="0.3">
      <c r="C361" s="12"/>
    </row>
    <row r="362" spans="3:3" ht="15.75" customHeight="1" x14ac:dyDescent="0.3">
      <c r="C362" s="12"/>
    </row>
    <row r="363" spans="3:3" ht="15.75" customHeight="1" x14ac:dyDescent="0.3">
      <c r="C363" s="12"/>
    </row>
    <row r="364" spans="3:3" ht="15.75" customHeight="1" x14ac:dyDescent="0.3">
      <c r="C364" s="12"/>
    </row>
    <row r="365" spans="3:3" ht="15.75" customHeight="1" x14ac:dyDescent="0.3">
      <c r="C365" s="12"/>
    </row>
    <row r="366" spans="3:3" ht="15.75" customHeight="1" x14ac:dyDescent="0.3">
      <c r="C366" s="12"/>
    </row>
    <row r="367" spans="3:3" ht="15.75" customHeight="1" x14ac:dyDescent="0.3">
      <c r="C367" s="12"/>
    </row>
    <row r="368" spans="3:3" ht="15.75" customHeight="1" x14ac:dyDescent="0.3">
      <c r="C368" s="12"/>
    </row>
    <row r="369" spans="3:3" ht="15.75" customHeight="1" x14ac:dyDescent="0.3">
      <c r="C369" s="12"/>
    </row>
    <row r="370" spans="3:3" ht="15.75" customHeight="1" x14ac:dyDescent="0.3">
      <c r="C370" s="12"/>
    </row>
    <row r="371" spans="3:3" ht="15.75" customHeight="1" x14ac:dyDescent="0.3">
      <c r="C371" s="12"/>
    </row>
    <row r="372" spans="3:3" ht="15.75" customHeight="1" x14ac:dyDescent="0.3">
      <c r="C372" s="12"/>
    </row>
    <row r="373" spans="3:3" ht="15.75" customHeight="1" x14ac:dyDescent="0.3">
      <c r="C373" s="12"/>
    </row>
    <row r="374" spans="3:3" ht="15.75" customHeight="1" x14ac:dyDescent="0.3">
      <c r="C374" s="12"/>
    </row>
    <row r="375" spans="3:3" ht="15.75" customHeight="1" x14ac:dyDescent="0.3">
      <c r="C375" s="12"/>
    </row>
    <row r="376" spans="3:3" ht="15.75" customHeight="1" x14ac:dyDescent="0.3">
      <c r="C376" s="12"/>
    </row>
    <row r="377" spans="3:3" ht="15.75" customHeight="1" x14ac:dyDescent="0.3">
      <c r="C377" s="12"/>
    </row>
    <row r="378" spans="3:3" ht="15.75" customHeight="1" x14ac:dyDescent="0.3">
      <c r="C378" s="12"/>
    </row>
    <row r="379" spans="3:3" ht="15.75" customHeight="1" x14ac:dyDescent="0.3">
      <c r="C379" s="12"/>
    </row>
    <row r="380" spans="3:3" ht="15.75" customHeight="1" x14ac:dyDescent="0.3">
      <c r="C380" s="12"/>
    </row>
    <row r="381" spans="3:3" ht="15.75" customHeight="1" x14ac:dyDescent="0.3">
      <c r="C381" s="12"/>
    </row>
    <row r="382" spans="3:3" ht="15.75" customHeight="1" x14ac:dyDescent="0.3">
      <c r="C382" s="12"/>
    </row>
    <row r="383" spans="3:3" ht="15.75" customHeight="1" x14ac:dyDescent="0.3">
      <c r="C383" s="12"/>
    </row>
    <row r="384" spans="3:3" ht="15.75" customHeight="1" x14ac:dyDescent="0.3">
      <c r="C384" s="12"/>
    </row>
    <row r="385" spans="3:3" ht="15.75" customHeight="1" x14ac:dyDescent="0.3">
      <c r="C385" s="12"/>
    </row>
    <row r="386" spans="3:3" ht="15.75" customHeight="1" x14ac:dyDescent="0.3">
      <c r="C386" s="12"/>
    </row>
    <row r="387" spans="3:3" ht="15.75" customHeight="1" x14ac:dyDescent="0.3">
      <c r="C387" s="12"/>
    </row>
    <row r="388" spans="3:3" ht="15.75" customHeight="1" x14ac:dyDescent="0.3">
      <c r="C388" s="12"/>
    </row>
    <row r="389" spans="3:3" ht="15.75" customHeight="1" x14ac:dyDescent="0.3">
      <c r="C389" s="12"/>
    </row>
    <row r="390" spans="3:3" ht="15.75" customHeight="1" x14ac:dyDescent="0.3">
      <c r="C390" s="12"/>
    </row>
    <row r="391" spans="3:3" ht="15.75" customHeight="1" x14ac:dyDescent="0.3">
      <c r="C391" s="12"/>
    </row>
    <row r="392" spans="3:3" ht="15.75" customHeight="1" x14ac:dyDescent="0.3">
      <c r="C392" s="12"/>
    </row>
    <row r="393" spans="3:3" ht="15.75" customHeight="1" x14ac:dyDescent="0.3">
      <c r="C393" s="12"/>
    </row>
    <row r="394" spans="3:3" ht="15.75" customHeight="1" x14ac:dyDescent="0.3">
      <c r="C394" s="12"/>
    </row>
    <row r="395" spans="3:3" ht="15.75" customHeight="1" x14ac:dyDescent="0.3">
      <c r="C395" s="12"/>
    </row>
    <row r="396" spans="3:3" ht="15.75" customHeight="1" x14ac:dyDescent="0.3">
      <c r="C396" s="12"/>
    </row>
    <row r="397" spans="3:3" ht="15.75" customHeight="1" x14ac:dyDescent="0.3">
      <c r="C397" s="12"/>
    </row>
    <row r="398" spans="3:3" ht="15.75" customHeight="1" x14ac:dyDescent="0.3">
      <c r="C398" s="12"/>
    </row>
    <row r="399" spans="3:3" ht="15.75" customHeight="1" x14ac:dyDescent="0.3">
      <c r="C399" s="12"/>
    </row>
    <row r="400" spans="3:3" ht="15.75" customHeight="1" x14ac:dyDescent="0.3">
      <c r="C400" s="12"/>
    </row>
    <row r="401" spans="3:3" ht="15.75" customHeight="1" x14ac:dyDescent="0.3">
      <c r="C401" s="12"/>
    </row>
    <row r="402" spans="3:3" ht="15.75" customHeight="1" x14ac:dyDescent="0.3">
      <c r="C402" s="12"/>
    </row>
    <row r="403" spans="3:3" ht="15.75" customHeight="1" x14ac:dyDescent="0.3">
      <c r="C403" s="12"/>
    </row>
    <row r="404" spans="3:3" ht="15.75" customHeight="1" x14ac:dyDescent="0.3">
      <c r="C404" s="12"/>
    </row>
    <row r="405" spans="3:3" ht="15.75" customHeight="1" x14ac:dyDescent="0.3">
      <c r="C405" s="12"/>
    </row>
    <row r="406" spans="3:3" ht="15.75" customHeight="1" x14ac:dyDescent="0.3">
      <c r="C406" s="12"/>
    </row>
    <row r="407" spans="3:3" ht="15.75" customHeight="1" x14ac:dyDescent="0.3">
      <c r="C407" s="12"/>
    </row>
    <row r="408" spans="3:3" ht="15.75" customHeight="1" x14ac:dyDescent="0.3">
      <c r="C408" s="12"/>
    </row>
    <row r="409" spans="3:3" ht="15.75" customHeight="1" x14ac:dyDescent="0.3">
      <c r="C409" s="12"/>
    </row>
    <row r="410" spans="3:3" ht="15.75" customHeight="1" x14ac:dyDescent="0.3">
      <c r="C410" s="12"/>
    </row>
    <row r="411" spans="3:3" ht="15.75" customHeight="1" x14ac:dyDescent="0.3">
      <c r="C411" s="12"/>
    </row>
    <row r="412" spans="3:3" ht="15.75" customHeight="1" x14ac:dyDescent="0.3">
      <c r="C412" s="12"/>
    </row>
    <row r="413" spans="3:3" ht="15.75" customHeight="1" x14ac:dyDescent="0.3">
      <c r="C413" s="12"/>
    </row>
    <row r="414" spans="3:3" ht="15.75" customHeight="1" x14ac:dyDescent="0.3">
      <c r="C414" s="12"/>
    </row>
    <row r="415" spans="3:3" ht="15.75" customHeight="1" x14ac:dyDescent="0.3">
      <c r="C415" s="12"/>
    </row>
    <row r="416" spans="3:3" ht="15.75" customHeight="1" x14ac:dyDescent="0.3">
      <c r="C416" s="12"/>
    </row>
    <row r="417" spans="3:3" ht="15.75" customHeight="1" x14ac:dyDescent="0.3">
      <c r="C417" s="12"/>
    </row>
    <row r="418" spans="3:3" ht="15.75" customHeight="1" x14ac:dyDescent="0.3">
      <c r="C418" s="12"/>
    </row>
    <row r="419" spans="3:3" ht="15.75" customHeight="1" x14ac:dyDescent="0.3">
      <c r="C419" s="12"/>
    </row>
    <row r="420" spans="3:3" ht="15.75" customHeight="1" x14ac:dyDescent="0.3">
      <c r="C420" s="12"/>
    </row>
    <row r="421" spans="3:3" ht="15.75" customHeight="1" x14ac:dyDescent="0.3">
      <c r="C421" s="12"/>
    </row>
    <row r="422" spans="3:3" ht="15.75" customHeight="1" x14ac:dyDescent="0.3">
      <c r="C422" s="12"/>
    </row>
    <row r="423" spans="3:3" ht="15.75" customHeight="1" x14ac:dyDescent="0.3">
      <c r="C423" s="12"/>
    </row>
    <row r="424" spans="3:3" ht="15.75" customHeight="1" x14ac:dyDescent="0.3">
      <c r="C424" s="12"/>
    </row>
    <row r="425" spans="3:3" ht="15.75" customHeight="1" x14ac:dyDescent="0.3">
      <c r="C425" s="12"/>
    </row>
    <row r="426" spans="3:3" ht="15.75" customHeight="1" x14ac:dyDescent="0.3">
      <c r="C426" s="12"/>
    </row>
    <row r="427" spans="3:3" ht="15.75" customHeight="1" x14ac:dyDescent="0.3">
      <c r="C427" s="12"/>
    </row>
    <row r="428" spans="3:3" ht="15.75" customHeight="1" x14ac:dyDescent="0.3">
      <c r="C428" s="12"/>
    </row>
    <row r="429" spans="3:3" ht="15.75" customHeight="1" x14ac:dyDescent="0.3">
      <c r="C429" s="12"/>
    </row>
    <row r="430" spans="3:3" ht="15.75" customHeight="1" x14ac:dyDescent="0.3">
      <c r="C430" s="12"/>
    </row>
    <row r="431" spans="3:3" ht="15.75" customHeight="1" x14ac:dyDescent="0.3">
      <c r="C431" s="12"/>
    </row>
    <row r="432" spans="3:3" ht="15.75" customHeight="1" x14ac:dyDescent="0.3">
      <c r="C432" s="12"/>
    </row>
    <row r="433" spans="3:3" ht="15.75" customHeight="1" x14ac:dyDescent="0.3">
      <c r="C433" s="12"/>
    </row>
    <row r="434" spans="3:3" ht="15.75" customHeight="1" x14ac:dyDescent="0.3">
      <c r="C434" s="12"/>
    </row>
    <row r="435" spans="3:3" ht="15.75" customHeight="1" x14ac:dyDescent="0.3">
      <c r="C435" s="12"/>
    </row>
    <row r="436" spans="3:3" ht="15.75" customHeight="1" x14ac:dyDescent="0.3">
      <c r="C436" s="12"/>
    </row>
    <row r="437" spans="3:3" ht="15.75" customHeight="1" x14ac:dyDescent="0.3">
      <c r="C437" s="12"/>
    </row>
    <row r="438" spans="3:3" ht="15.75" customHeight="1" x14ac:dyDescent="0.3">
      <c r="C438" s="12"/>
    </row>
    <row r="439" spans="3:3" ht="15.75" customHeight="1" x14ac:dyDescent="0.3">
      <c r="C439" s="12"/>
    </row>
    <row r="440" spans="3:3" ht="15.75" customHeight="1" x14ac:dyDescent="0.3">
      <c r="C440" s="12"/>
    </row>
    <row r="441" spans="3:3" ht="15.75" customHeight="1" x14ac:dyDescent="0.3">
      <c r="C441" s="12"/>
    </row>
    <row r="442" spans="3:3" ht="15.75" customHeight="1" x14ac:dyDescent="0.3">
      <c r="C442" s="12"/>
    </row>
    <row r="443" spans="3:3" ht="15.75" customHeight="1" x14ac:dyDescent="0.3">
      <c r="C443" s="12"/>
    </row>
    <row r="444" spans="3:3" ht="15.75" customHeight="1" x14ac:dyDescent="0.3">
      <c r="C444" s="12"/>
    </row>
    <row r="445" spans="3:3" ht="15.75" customHeight="1" x14ac:dyDescent="0.3">
      <c r="C445" s="12"/>
    </row>
    <row r="446" spans="3:3" ht="15.75" customHeight="1" x14ac:dyDescent="0.3">
      <c r="C446" s="12"/>
    </row>
    <row r="447" spans="3:3" ht="15.75" customHeight="1" x14ac:dyDescent="0.3">
      <c r="C447" s="12"/>
    </row>
    <row r="448" spans="3:3" ht="15.75" customHeight="1" x14ac:dyDescent="0.3">
      <c r="C448" s="12"/>
    </row>
    <row r="449" spans="3:3" ht="15.75" customHeight="1" x14ac:dyDescent="0.3">
      <c r="C449" s="12"/>
    </row>
    <row r="450" spans="3:3" ht="15.75" customHeight="1" x14ac:dyDescent="0.3">
      <c r="C450" s="12"/>
    </row>
    <row r="451" spans="3:3" ht="15.75" customHeight="1" x14ac:dyDescent="0.3">
      <c r="C451" s="12"/>
    </row>
    <row r="452" spans="3:3" ht="15.75" customHeight="1" x14ac:dyDescent="0.3">
      <c r="C452" s="12"/>
    </row>
    <row r="453" spans="3:3" ht="15.75" customHeight="1" x14ac:dyDescent="0.3">
      <c r="C453" s="12"/>
    </row>
    <row r="454" spans="3:3" ht="15.75" customHeight="1" x14ac:dyDescent="0.3">
      <c r="C454" s="12"/>
    </row>
    <row r="455" spans="3:3" ht="15.75" customHeight="1" x14ac:dyDescent="0.3">
      <c r="C455" s="12"/>
    </row>
    <row r="456" spans="3:3" ht="15.75" customHeight="1" x14ac:dyDescent="0.3">
      <c r="C456" s="12"/>
    </row>
    <row r="457" spans="3:3" ht="15.75" customHeight="1" x14ac:dyDescent="0.3">
      <c r="C457" s="12"/>
    </row>
    <row r="458" spans="3:3" ht="15.75" customHeight="1" x14ac:dyDescent="0.3">
      <c r="C458" s="12"/>
    </row>
    <row r="459" spans="3:3" ht="15.75" customHeight="1" x14ac:dyDescent="0.3">
      <c r="C459" s="12"/>
    </row>
    <row r="460" spans="3:3" ht="15.75" customHeight="1" x14ac:dyDescent="0.3">
      <c r="C460" s="12"/>
    </row>
    <row r="461" spans="3:3" ht="15.75" customHeight="1" x14ac:dyDescent="0.3">
      <c r="C461" s="12"/>
    </row>
    <row r="462" spans="3:3" ht="15.75" customHeight="1" x14ac:dyDescent="0.3">
      <c r="C462" s="12"/>
    </row>
    <row r="463" spans="3:3" ht="15.75" customHeight="1" x14ac:dyDescent="0.3">
      <c r="C463" s="12"/>
    </row>
    <row r="464" spans="3:3" ht="15.75" customHeight="1" x14ac:dyDescent="0.3">
      <c r="C464" s="12"/>
    </row>
    <row r="465" spans="3:3" ht="15.75" customHeight="1" x14ac:dyDescent="0.3">
      <c r="C465" s="12"/>
    </row>
    <row r="466" spans="3:3" ht="15.75" customHeight="1" x14ac:dyDescent="0.3">
      <c r="C466" s="12"/>
    </row>
    <row r="467" spans="3:3" ht="15.75" customHeight="1" x14ac:dyDescent="0.3">
      <c r="C467" s="12"/>
    </row>
    <row r="468" spans="3:3" ht="15.75" customHeight="1" x14ac:dyDescent="0.3">
      <c r="C468" s="12"/>
    </row>
    <row r="469" spans="3:3" ht="15.75" customHeight="1" x14ac:dyDescent="0.3">
      <c r="C469" s="12"/>
    </row>
    <row r="470" spans="3:3" ht="15.75" customHeight="1" x14ac:dyDescent="0.3">
      <c r="C470" s="12"/>
    </row>
    <row r="471" spans="3:3" ht="15.75" customHeight="1" x14ac:dyDescent="0.3">
      <c r="C471" s="12"/>
    </row>
    <row r="472" spans="3:3" ht="15.75" customHeight="1" x14ac:dyDescent="0.3">
      <c r="C472" s="12"/>
    </row>
    <row r="473" spans="3:3" ht="15.75" customHeight="1" x14ac:dyDescent="0.3">
      <c r="C473" s="12"/>
    </row>
    <row r="474" spans="3:3" ht="15.75" customHeight="1" x14ac:dyDescent="0.3">
      <c r="C474" s="12"/>
    </row>
    <row r="475" spans="3:3" ht="15.75" customHeight="1" x14ac:dyDescent="0.3">
      <c r="C475" s="12"/>
    </row>
    <row r="476" spans="3:3" ht="15.75" customHeight="1" x14ac:dyDescent="0.3">
      <c r="C476" s="12"/>
    </row>
    <row r="477" spans="3:3" ht="15.75" customHeight="1" x14ac:dyDescent="0.3">
      <c r="C477" s="12"/>
    </row>
    <row r="478" spans="3:3" ht="15.75" customHeight="1" x14ac:dyDescent="0.3">
      <c r="C478" s="12"/>
    </row>
    <row r="479" spans="3:3" ht="15.75" customHeight="1" x14ac:dyDescent="0.3">
      <c r="C479" s="12"/>
    </row>
    <row r="480" spans="3:3" ht="15.75" customHeight="1" x14ac:dyDescent="0.3">
      <c r="C480" s="12"/>
    </row>
    <row r="481" spans="3:3" ht="15.75" customHeight="1" x14ac:dyDescent="0.3">
      <c r="C481" s="12"/>
    </row>
    <row r="482" spans="3:3" ht="15.75" customHeight="1" x14ac:dyDescent="0.3">
      <c r="C482" s="12"/>
    </row>
    <row r="483" spans="3:3" ht="15.75" customHeight="1" x14ac:dyDescent="0.3">
      <c r="C483" s="12"/>
    </row>
    <row r="484" spans="3:3" ht="15.75" customHeight="1" x14ac:dyDescent="0.3">
      <c r="C484" s="12"/>
    </row>
    <row r="485" spans="3:3" ht="15.75" customHeight="1" x14ac:dyDescent="0.3">
      <c r="C485" s="12"/>
    </row>
    <row r="486" spans="3:3" ht="15.75" customHeight="1" x14ac:dyDescent="0.3">
      <c r="C486" s="12"/>
    </row>
    <row r="487" spans="3:3" ht="15.75" customHeight="1" x14ac:dyDescent="0.3">
      <c r="C487" s="12"/>
    </row>
    <row r="488" spans="3:3" ht="15.75" customHeight="1" x14ac:dyDescent="0.3">
      <c r="C488" s="12"/>
    </row>
    <row r="489" spans="3:3" ht="15.75" customHeight="1" x14ac:dyDescent="0.3">
      <c r="C489" s="12"/>
    </row>
    <row r="490" spans="3:3" ht="15.75" customHeight="1" x14ac:dyDescent="0.3">
      <c r="C490" s="12"/>
    </row>
    <row r="491" spans="3:3" ht="15.75" customHeight="1" x14ac:dyDescent="0.3">
      <c r="C491" s="12"/>
    </row>
    <row r="492" spans="3:3" ht="15.75" customHeight="1" x14ac:dyDescent="0.3">
      <c r="C492" s="12"/>
    </row>
    <row r="493" spans="3:3" ht="15.75" customHeight="1" x14ac:dyDescent="0.3">
      <c r="C493" s="12"/>
    </row>
    <row r="494" spans="3:3" ht="15.75" customHeight="1" x14ac:dyDescent="0.3">
      <c r="C494" s="12"/>
    </row>
    <row r="495" spans="3:3" ht="15.75" customHeight="1" x14ac:dyDescent="0.3">
      <c r="C495" s="12"/>
    </row>
    <row r="496" spans="3:3" ht="15.75" customHeight="1" x14ac:dyDescent="0.3">
      <c r="C496" s="12"/>
    </row>
    <row r="497" spans="3:3" ht="15.75" customHeight="1" x14ac:dyDescent="0.3">
      <c r="C497" s="12"/>
    </row>
    <row r="498" spans="3:3" ht="15.75" customHeight="1" x14ac:dyDescent="0.3">
      <c r="C498" s="12"/>
    </row>
    <row r="499" spans="3:3" ht="15.75" customHeight="1" x14ac:dyDescent="0.3">
      <c r="C499" s="12"/>
    </row>
    <row r="500" spans="3:3" ht="15.75" customHeight="1" x14ac:dyDescent="0.3">
      <c r="C500" s="12"/>
    </row>
    <row r="501" spans="3:3" ht="15.75" customHeight="1" x14ac:dyDescent="0.3">
      <c r="C501" s="12"/>
    </row>
    <row r="502" spans="3:3" ht="15.75" customHeight="1" x14ac:dyDescent="0.3">
      <c r="C502" s="12"/>
    </row>
    <row r="503" spans="3:3" ht="15.75" customHeight="1" x14ac:dyDescent="0.3">
      <c r="C503" s="12"/>
    </row>
    <row r="504" spans="3:3" ht="15.75" customHeight="1" x14ac:dyDescent="0.3">
      <c r="C504" s="12"/>
    </row>
    <row r="505" spans="3:3" ht="15.75" customHeight="1" x14ac:dyDescent="0.3">
      <c r="C505" s="12"/>
    </row>
    <row r="506" spans="3:3" ht="15.75" customHeight="1" x14ac:dyDescent="0.3">
      <c r="C506" s="12"/>
    </row>
    <row r="507" spans="3:3" ht="15.75" customHeight="1" x14ac:dyDescent="0.3">
      <c r="C507" s="12"/>
    </row>
    <row r="508" spans="3:3" ht="15.75" customHeight="1" x14ac:dyDescent="0.3">
      <c r="C508" s="12"/>
    </row>
    <row r="509" spans="3:3" ht="15.75" customHeight="1" x14ac:dyDescent="0.3">
      <c r="C509" s="12"/>
    </row>
    <row r="510" spans="3:3" ht="15.75" customHeight="1" x14ac:dyDescent="0.3">
      <c r="C510" s="12"/>
    </row>
    <row r="511" spans="3:3" ht="15.75" customHeight="1" x14ac:dyDescent="0.3">
      <c r="C511" s="12"/>
    </row>
    <row r="512" spans="3:3" ht="15.75" customHeight="1" x14ac:dyDescent="0.3">
      <c r="C512" s="12"/>
    </row>
    <row r="513" spans="3:3" ht="15.75" customHeight="1" x14ac:dyDescent="0.3">
      <c r="C513" s="12"/>
    </row>
    <row r="514" spans="3:3" ht="15.75" customHeight="1" x14ac:dyDescent="0.3">
      <c r="C514" s="12"/>
    </row>
    <row r="515" spans="3:3" ht="15.75" customHeight="1" x14ac:dyDescent="0.3">
      <c r="C515" s="12"/>
    </row>
    <row r="516" spans="3:3" ht="15.75" customHeight="1" x14ac:dyDescent="0.3">
      <c r="C516" s="12"/>
    </row>
    <row r="517" spans="3:3" ht="15.75" customHeight="1" x14ac:dyDescent="0.3">
      <c r="C517" s="12"/>
    </row>
    <row r="518" spans="3:3" ht="15.75" customHeight="1" x14ac:dyDescent="0.3">
      <c r="C518" s="12"/>
    </row>
    <row r="519" spans="3:3" ht="15.75" customHeight="1" x14ac:dyDescent="0.3">
      <c r="C519" s="12"/>
    </row>
    <row r="520" spans="3:3" ht="15.75" customHeight="1" x14ac:dyDescent="0.3">
      <c r="C520" s="12"/>
    </row>
    <row r="521" spans="3:3" ht="15.75" customHeight="1" x14ac:dyDescent="0.3">
      <c r="C521" s="12"/>
    </row>
    <row r="522" spans="3:3" ht="15.75" customHeight="1" x14ac:dyDescent="0.3">
      <c r="C522" s="12"/>
    </row>
    <row r="523" spans="3:3" ht="15.75" customHeight="1" x14ac:dyDescent="0.3">
      <c r="C523" s="12"/>
    </row>
    <row r="524" spans="3:3" ht="15.75" customHeight="1" x14ac:dyDescent="0.3">
      <c r="C524" s="12"/>
    </row>
    <row r="525" spans="3:3" ht="15.75" customHeight="1" x14ac:dyDescent="0.3">
      <c r="C525" s="12"/>
    </row>
    <row r="526" spans="3:3" ht="15.75" customHeight="1" x14ac:dyDescent="0.3">
      <c r="C526" s="12"/>
    </row>
    <row r="527" spans="3:3" ht="15.75" customHeight="1" x14ac:dyDescent="0.3">
      <c r="C527" s="12"/>
    </row>
    <row r="528" spans="3:3" ht="15.75" customHeight="1" x14ac:dyDescent="0.3">
      <c r="C528" s="12"/>
    </row>
    <row r="529" spans="3:3" ht="15.75" customHeight="1" x14ac:dyDescent="0.3">
      <c r="C529" s="12"/>
    </row>
    <row r="530" spans="3:3" ht="15.75" customHeight="1" x14ac:dyDescent="0.3">
      <c r="C530" s="12"/>
    </row>
    <row r="531" spans="3:3" ht="15.75" customHeight="1" x14ac:dyDescent="0.3">
      <c r="C531" s="12"/>
    </row>
    <row r="532" spans="3:3" ht="15.75" customHeight="1" x14ac:dyDescent="0.3">
      <c r="C532" s="12"/>
    </row>
    <row r="533" spans="3:3" ht="15.75" customHeight="1" x14ac:dyDescent="0.3">
      <c r="C533" s="12"/>
    </row>
    <row r="534" spans="3:3" ht="15.75" customHeight="1" x14ac:dyDescent="0.3">
      <c r="C534" s="12"/>
    </row>
    <row r="535" spans="3:3" ht="15.75" customHeight="1" x14ac:dyDescent="0.3">
      <c r="C535" s="12"/>
    </row>
    <row r="536" spans="3:3" ht="15.75" customHeight="1" x14ac:dyDescent="0.3">
      <c r="C536" s="12"/>
    </row>
    <row r="537" spans="3:3" ht="15.75" customHeight="1" x14ac:dyDescent="0.3">
      <c r="C537" s="12"/>
    </row>
    <row r="538" spans="3:3" ht="15.75" customHeight="1" x14ac:dyDescent="0.3">
      <c r="C538" s="12"/>
    </row>
    <row r="539" spans="3:3" ht="15.75" customHeight="1" x14ac:dyDescent="0.3">
      <c r="C539" s="12"/>
    </row>
    <row r="540" spans="3:3" ht="15.75" customHeight="1" x14ac:dyDescent="0.3">
      <c r="C540" s="12"/>
    </row>
    <row r="541" spans="3:3" ht="15.75" customHeight="1" x14ac:dyDescent="0.3">
      <c r="C541" s="12"/>
    </row>
    <row r="542" spans="3:3" ht="15.75" customHeight="1" x14ac:dyDescent="0.3">
      <c r="C542" s="12"/>
    </row>
    <row r="543" spans="3:3" ht="15.75" customHeight="1" x14ac:dyDescent="0.3">
      <c r="C543" s="12"/>
    </row>
    <row r="544" spans="3:3" ht="15.75" customHeight="1" x14ac:dyDescent="0.3">
      <c r="C544" s="12"/>
    </row>
    <row r="545" spans="3:3" ht="15.75" customHeight="1" x14ac:dyDescent="0.3">
      <c r="C545" s="12"/>
    </row>
    <row r="546" spans="3:3" ht="15.75" customHeight="1" x14ac:dyDescent="0.3">
      <c r="C546" s="12"/>
    </row>
    <row r="547" spans="3:3" ht="15.75" customHeight="1" x14ac:dyDescent="0.3">
      <c r="C547" s="12"/>
    </row>
    <row r="548" spans="3:3" ht="15.75" customHeight="1" x14ac:dyDescent="0.3">
      <c r="C548" s="12"/>
    </row>
    <row r="549" spans="3:3" ht="15.75" customHeight="1" x14ac:dyDescent="0.3">
      <c r="C549" s="12"/>
    </row>
    <row r="550" spans="3:3" ht="15.75" customHeight="1" x14ac:dyDescent="0.3">
      <c r="C550" s="12"/>
    </row>
    <row r="551" spans="3:3" ht="15.75" customHeight="1" x14ac:dyDescent="0.3">
      <c r="C551" s="12"/>
    </row>
    <row r="552" spans="3:3" ht="15.75" customHeight="1" x14ac:dyDescent="0.3">
      <c r="C552" s="12"/>
    </row>
    <row r="553" spans="3:3" ht="15.75" customHeight="1" x14ac:dyDescent="0.3">
      <c r="C553" s="12"/>
    </row>
    <row r="554" spans="3:3" ht="15.75" customHeight="1" x14ac:dyDescent="0.3">
      <c r="C554" s="12"/>
    </row>
    <row r="555" spans="3:3" ht="15.75" customHeight="1" x14ac:dyDescent="0.3">
      <c r="C555" s="12"/>
    </row>
    <row r="556" spans="3:3" ht="15.75" customHeight="1" x14ac:dyDescent="0.3">
      <c r="C556" s="12"/>
    </row>
    <row r="557" spans="3:3" ht="15.75" customHeight="1" x14ac:dyDescent="0.3">
      <c r="C557" s="12"/>
    </row>
    <row r="558" spans="3:3" ht="15.75" customHeight="1" x14ac:dyDescent="0.3">
      <c r="C558" s="12"/>
    </row>
    <row r="559" spans="3:3" ht="15.75" customHeight="1" x14ac:dyDescent="0.3">
      <c r="C559" s="12"/>
    </row>
    <row r="560" spans="3:3" ht="15.75" customHeight="1" x14ac:dyDescent="0.3">
      <c r="C560" s="12"/>
    </row>
    <row r="561" spans="3:3" ht="15.75" customHeight="1" x14ac:dyDescent="0.3">
      <c r="C561" s="12"/>
    </row>
    <row r="562" spans="3:3" ht="15.75" customHeight="1" x14ac:dyDescent="0.3">
      <c r="C562" s="12"/>
    </row>
    <row r="563" spans="3:3" ht="15.75" customHeight="1" x14ac:dyDescent="0.3">
      <c r="C563" s="12"/>
    </row>
    <row r="564" spans="3:3" ht="15.75" customHeight="1" x14ac:dyDescent="0.3">
      <c r="C564" s="12"/>
    </row>
    <row r="565" spans="3:3" ht="15.75" customHeight="1" x14ac:dyDescent="0.3">
      <c r="C565" s="12"/>
    </row>
    <row r="566" spans="3:3" ht="15.75" customHeight="1" x14ac:dyDescent="0.3">
      <c r="C566" s="12"/>
    </row>
    <row r="567" spans="3:3" ht="15.75" customHeight="1" x14ac:dyDescent="0.3">
      <c r="C567" s="12"/>
    </row>
    <row r="568" spans="3:3" ht="15.75" customHeight="1" x14ac:dyDescent="0.3">
      <c r="C568" s="12"/>
    </row>
    <row r="569" spans="3:3" ht="15.75" customHeight="1" x14ac:dyDescent="0.3">
      <c r="C569" s="12"/>
    </row>
    <row r="570" spans="3:3" ht="15.75" customHeight="1" x14ac:dyDescent="0.3">
      <c r="C570" s="12"/>
    </row>
    <row r="571" spans="3:3" ht="15.75" customHeight="1" x14ac:dyDescent="0.3">
      <c r="C571" s="12"/>
    </row>
    <row r="572" spans="3:3" ht="15.75" customHeight="1" x14ac:dyDescent="0.3">
      <c r="C572" s="12"/>
    </row>
    <row r="573" spans="3:3" ht="15.75" customHeight="1" x14ac:dyDescent="0.3">
      <c r="C573" s="12"/>
    </row>
    <row r="574" spans="3:3" ht="15.75" customHeight="1" x14ac:dyDescent="0.3">
      <c r="C574" s="12"/>
    </row>
    <row r="575" spans="3:3" ht="15.75" customHeight="1" x14ac:dyDescent="0.3">
      <c r="C575" s="12"/>
    </row>
    <row r="576" spans="3:3" ht="15.75" customHeight="1" x14ac:dyDescent="0.3">
      <c r="C576" s="12"/>
    </row>
    <row r="577" spans="3:3" ht="15.75" customHeight="1" x14ac:dyDescent="0.3">
      <c r="C577" s="12"/>
    </row>
    <row r="578" spans="3:3" ht="15.75" customHeight="1" x14ac:dyDescent="0.3">
      <c r="C578" s="12"/>
    </row>
    <row r="579" spans="3:3" ht="15.75" customHeight="1" x14ac:dyDescent="0.3">
      <c r="C579" s="12"/>
    </row>
    <row r="580" spans="3:3" ht="15.75" customHeight="1" x14ac:dyDescent="0.3">
      <c r="C580" s="12"/>
    </row>
    <row r="581" spans="3:3" ht="15.75" customHeight="1" x14ac:dyDescent="0.3">
      <c r="C581" s="12"/>
    </row>
    <row r="582" spans="3:3" ht="15.75" customHeight="1" x14ac:dyDescent="0.3">
      <c r="C582" s="12"/>
    </row>
    <row r="583" spans="3:3" ht="15.75" customHeight="1" x14ac:dyDescent="0.3">
      <c r="C583" s="12"/>
    </row>
    <row r="584" spans="3:3" ht="15.75" customHeight="1" x14ac:dyDescent="0.3">
      <c r="C584" s="12"/>
    </row>
    <row r="585" spans="3:3" ht="15.75" customHeight="1" x14ac:dyDescent="0.3">
      <c r="C585" s="12"/>
    </row>
    <row r="586" spans="3:3" ht="15.75" customHeight="1" x14ac:dyDescent="0.3">
      <c r="C586" s="12"/>
    </row>
    <row r="587" spans="3:3" ht="15.75" customHeight="1" x14ac:dyDescent="0.3">
      <c r="C587" s="12"/>
    </row>
    <row r="588" spans="3:3" ht="15.75" customHeight="1" x14ac:dyDescent="0.3">
      <c r="C588" s="12"/>
    </row>
    <row r="589" spans="3:3" ht="15.75" customHeight="1" x14ac:dyDescent="0.3">
      <c r="C589" s="12"/>
    </row>
    <row r="590" spans="3:3" ht="15.75" customHeight="1" x14ac:dyDescent="0.3">
      <c r="C590" s="12"/>
    </row>
    <row r="591" spans="3:3" ht="15.75" customHeight="1" x14ac:dyDescent="0.3">
      <c r="C591" s="12"/>
    </row>
    <row r="592" spans="3:3" ht="15.75" customHeight="1" x14ac:dyDescent="0.3">
      <c r="C592" s="12"/>
    </row>
    <row r="593" spans="3:3" ht="15.75" customHeight="1" x14ac:dyDescent="0.3">
      <c r="C593" s="12"/>
    </row>
    <row r="594" spans="3:3" ht="15.75" customHeight="1" x14ac:dyDescent="0.3">
      <c r="C594" s="12"/>
    </row>
    <row r="595" spans="3:3" ht="15.75" customHeight="1" x14ac:dyDescent="0.3">
      <c r="C595" s="12"/>
    </row>
    <row r="596" spans="3:3" ht="15.75" customHeight="1" x14ac:dyDescent="0.3">
      <c r="C596" s="12"/>
    </row>
    <row r="597" spans="3:3" ht="15.75" customHeight="1" x14ac:dyDescent="0.3">
      <c r="C597" s="12"/>
    </row>
    <row r="598" spans="3:3" ht="15.75" customHeight="1" x14ac:dyDescent="0.3">
      <c r="C598" s="12"/>
    </row>
    <row r="599" spans="3:3" ht="15.75" customHeight="1" x14ac:dyDescent="0.3">
      <c r="C599" s="12"/>
    </row>
    <row r="600" spans="3:3" ht="15.75" customHeight="1" x14ac:dyDescent="0.3">
      <c r="C600" s="12"/>
    </row>
    <row r="601" spans="3:3" ht="15.75" customHeight="1" x14ac:dyDescent="0.3">
      <c r="C601" s="12"/>
    </row>
    <row r="602" spans="3:3" ht="15.75" customHeight="1" x14ac:dyDescent="0.3">
      <c r="C602" s="12"/>
    </row>
    <row r="603" spans="3:3" ht="15.75" customHeight="1" x14ac:dyDescent="0.3">
      <c r="C603" s="12"/>
    </row>
    <row r="604" spans="3:3" ht="15.75" customHeight="1" x14ac:dyDescent="0.3">
      <c r="C604" s="12"/>
    </row>
    <row r="605" spans="3:3" ht="15.75" customHeight="1" x14ac:dyDescent="0.3">
      <c r="C605" s="12"/>
    </row>
    <row r="606" spans="3:3" ht="15.75" customHeight="1" x14ac:dyDescent="0.3">
      <c r="C606" s="12"/>
    </row>
    <row r="607" spans="3:3" ht="15.75" customHeight="1" x14ac:dyDescent="0.3">
      <c r="C607" s="12"/>
    </row>
    <row r="608" spans="3:3" ht="15.75" customHeight="1" x14ac:dyDescent="0.3">
      <c r="C608" s="12"/>
    </row>
    <row r="609" spans="3:3" ht="15.75" customHeight="1" x14ac:dyDescent="0.3">
      <c r="C609" s="12"/>
    </row>
    <row r="610" spans="3:3" ht="15.75" customHeight="1" x14ac:dyDescent="0.3">
      <c r="C610" s="12"/>
    </row>
    <row r="611" spans="3:3" ht="15.75" customHeight="1" x14ac:dyDescent="0.3">
      <c r="C611" s="12"/>
    </row>
    <row r="612" spans="3:3" ht="15.75" customHeight="1" x14ac:dyDescent="0.3">
      <c r="C612" s="12"/>
    </row>
    <row r="613" spans="3:3" ht="15.75" customHeight="1" x14ac:dyDescent="0.3">
      <c r="C613" s="12"/>
    </row>
    <row r="614" spans="3:3" ht="15.75" customHeight="1" x14ac:dyDescent="0.3">
      <c r="C614" s="12"/>
    </row>
    <row r="615" spans="3:3" ht="15.75" customHeight="1" x14ac:dyDescent="0.3">
      <c r="C615" s="12"/>
    </row>
    <row r="616" spans="3:3" ht="15.75" customHeight="1" x14ac:dyDescent="0.3">
      <c r="C616" s="12"/>
    </row>
    <row r="617" spans="3:3" ht="15.75" customHeight="1" x14ac:dyDescent="0.3">
      <c r="C617" s="12"/>
    </row>
    <row r="618" spans="3:3" ht="15.75" customHeight="1" x14ac:dyDescent="0.3">
      <c r="C618" s="12"/>
    </row>
    <row r="619" spans="3:3" ht="15.75" customHeight="1" x14ac:dyDescent="0.3">
      <c r="C619" s="12"/>
    </row>
    <row r="620" spans="3:3" ht="15.75" customHeight="1" x14ac:dyDescent="0.3">
      <c r="C620" s="12"/>
    </row>
    <row r="621" spans="3:3" ht="15.75" customHeight="1" x14ac:dyDescent="0.3">
      <c r="C621" s="12"/>
    </row>
    <row r="622" spans="3:3" ht="15.75" customHeight="1" x14ac:dyDescent="0.3">
      <c r="C622" s="12"/>
    </row>
    <row r="623" spans="3:3" ht="15.75" customHeight="1" x14ac:dyDescent="0.3">
      <c r="C623" s="12"/>
    </row>
    <row r="624" spans="3:3" ht="15.75" customHeight="1" x14ac:dyDescent="0.3">
      <c r="C624" s="12"/>
    </row>
    <row r="625" spans="3:3" ht="15.75" customHeight="1" x14ac:dyDescent="0.3">
      <c r="C625" s="12"/>
    </row>
    <row r="626" spans="3:3" ht="15.75" customHeight="1" x14ac:dyDescent="0.3">
      <c r="C626" s="12"/>
    </row>
    <row r="627" spans="3:3" ht="15.75" customHeight="1" x14ac:dyDescent="0.3">
      <c r="C627" s="12"/>
    </row>
    <row r="628" spans="3:3" ht="15.75" customHeight="1" x14ac:dyDescent="0.3">
      <c r="C628" s="12"/>
    </row>
    <row r="629" spans="3:3" ht="15.75" customHeight="1" x14ac:dyDescent="0.3">
      <c r="C629" s="12"/>
    </row>
    <row r="630" spans="3:3" ht="15.75" customHeight="1" x14ac:dyDescent="0.3">
      <c r="C630" s="12"/>
    </row>
    <row r="631" spans="3:3" ht="15.75" customHeight="1" x14ac:dyDescent="0.3">
      <c r="C631" s="12"/>
    </row>
    <row r="632" spans="3:3" ht="15.75" customHeight="1" x14ac:dyDescent="0.3">
      <c r="C632" s="12"/>
    </row>
    <row r="633" spans="3:3" ht="15.75" customHeight="1" x14ac:dyDescent="0.3">
      <c r="C633" s="12"/>
    </row>
    <row r="634" spans="3:3" ht="15.75" customHeight="1" x14ac:dyDescent="0.3">
      <c r="C634" s="12"/>
    </row>
    <row r="635" spans="3:3" ht="15.75" customHeight="1" x14ac:dyDescent="0.3">
      <c r="C635" s="12"/>
    </row>
    <row r="636" spans="3:3" ht="15.75" customHeight="1" x14ac:dyDescent="0.3">
      <c r="C636" s="12"/>
    </row>
    <row r="637" spans="3:3" ht="15.75" customHeight="1" x14ac:dyDescent="0.3">
      <c r="C637" s="12"/>
    </row>
    <row r="638" spans="3:3" ht="15.75" customHeight="1" x14ac:dyDescent="0.3">
      <c r="C638" s="12"/>
    </row>
    <row r="639" spans="3:3" ht="15.75" customHeight="1" x14ac:dyDescent="0.3">
      <c r="C639" s="12"/>
    </row>
    <row r="640" spans="3:3" ht="15.75" customHeight="1" x14ac:dyDescent="0.3">
      <c r="C640" s="12"/>
    </row>
    <row r="641" spans="3:3" ht="15.75" customHeight="1" x14ac:dyDescent="0.3">
      <c r="C641" s="12"/>
    </row>
    <row r="642" spans="3:3" ht="15.75" customHeight="1" x14ac:dyDescent="0.3">
      <c r="C642" s="12"/>
    </row>
    <row r="643" spans="3:3" ht="15.75" customHeight="1" x14ac:dyDescent="0.3">
      <c r="C643" s="12"/>
    </row>
    <row r="644" spans="3:3" ht="15.75" customHeight="1" x14ac:dyDescent="0.3">
      <c r="C644" s="12"/>
    </row>
    <row r="645" spans="3:3" ht="15.75" customHeight="1" x14ac:dyDescent="0.3">
      <c r="C645" s="12"/>
    </row>
    <row r="646" spans="3:3" ht="15.75" customHeight="1" x14ac:dyDescent="0.3">
      <c r="C646" s="12"/>
    </row>
    <row r="647" spans="3:3" ht="15.75" customHeight="1" x14ac:dyDescent="0.3">
      <c r="C647" s="12"/>
    </row>
    <row r="648" spans="3:3" ht="15.75" customHeight="1" x14ac:dyDescent="0.3">
      <c r="C648" s="12"/>
    </row>
    <row r="649" spans="3:3" ht="15.75" customHeight="1" x14ac:dyDescent="0.3">
      <c r="C649" s="12"/>
    </row>
    <row r="650" spans="3:3" ht="15.75" customHeight="1" x14ac:dyDescent="0.3">
      <c r="C650" s="12"/>
    </row>
    <row r="651" spans="3:3" ht="15.75" customHeight="1" x14ac:dyDescent="0.3">
      <c r="C651" s="12"/>
    </row>
    <row r="652" spans="3:3" ht="15.75" customHeight="1" x14ac:dyDescent="0.3">
      <c r="C652" s="12"/>
    </row>
    <row r="653" spans="3:3" ht="15.75" customHeight="1" x14ac:dyDescent="0.3">
      <c r="C653" s="12"/>
    </row>
    <row r="654" spans="3:3" ht="15.75" customHeight="1" x14ac:dyDescent="0.3">
      <c r="C654" s="12"/>
    </row>
    <row r="655" spans="3:3" ht="15.75" customHeight="1" x14ac:dyDescent="0.3">
      <c r="C655" s="12"/>
    </row>
    <row r="656" spans="3:3" ht="15.75" customHeight="1" x14ac:dyDescent="0.3">
      <c r="C656" s="12"/>
    </row>
    <row r="657" spans="3:3" ht="15.75" customHeight="1" x14ac:dyDescent="0.3">
      <c r="C657" s="12"/>
    </row>
    <row r="658" spans="3:3" ht="15.75" customHeight="1" x14ac:dyDescent="0.3">
      <c r="C658" s="12"/>
    </row>
    <row r="659" spans="3:3" ht="15.75" customHeight="1" x14ac:dyDescent="0.3">
      <c r="C659" s="12"/>
    </row>
    <row r="660" spans="3:3" ht="15.75" customHeight="1" x14ac:dyDescent="0.3">
      <c r="C660" s="12"/>
    </row>
    <row r="661" spans="3:3" ht="15.75" customHeight="1" x14ac:dyDescent="0.3">
      <c r="C661" s="12"/>
    </row>
    <row r="662" spans="3:3" ht="15.75" customHeight="1" x14ac:dyDescent="0.3">
      <c r="C662" s="12"/>
    </row>
    <row r="663" spans="3:3" ht="15.75" customHeight="1" x14ac:dyDescent="0.3">
      <c r="C663" s="12"/>
    </row>
    <row r="664" spans="3:3" ht="15.75" customHeight="1" x14ac:dyDescent="0.3">
      <c r="C664" s="12"/>
    </row>
    <row r="665" spans="3:3" ht="15.75" customHeight="1" x14ac:dyDescent="0.3">
      <c r="C665" s="12"/>
    </row>
    <row r="666" spans="3:3" ht="15.75" customHeight="1" x14ac:dyDescent="0.3">
      <c r="C666" s="12"/>
    </row>
    <row r="667" spans="3:3" ht="15.75" customHeight="1" x14ac:dyDescent="0.3">
      <c r="C667" s="12"/>
    </row>
    <row r="668" spans="3:3" ht="15.75" customHeight="1" x14ac:dyDescent="0.3">
      <c r="C668" s="12"/>
    </row>
    <row r="669" spans="3:3" ht="15.75" customHeight="1" x14ac:dyDescent="0.3">
      <c r="C669" s="12"/>
    </row>
    <row r="670" spans="3:3" ht="15.75" customHeight="1" x14ac:dyDescent="0.3">
      <c r="C670" s="12"/>
    </row>
    <row r="671" spans="3:3" ht="15.75" customHeight="1" x14ac:dyDescent="0.3">
      <c r="C671" s="12"/>
    </row>
    <row r="672" spans="3:3" ht="15.75" customHeight="1" x14ac:dyDescent="0.3">
      <c r="C672" s="12"/>
    </row>
    <row r="673" spans="3:3" ht="15.75" customHeight="1" x14ac:dyDescent="0.3">
      <c r="C673" s="12"/>
    </row>
    <row r="674" spans="3:3" ht="15.75" customHeight="1" x14ac:dyDescent="0.3">
      <c r="C674" s="12"/>
    </row>
    <row r="675" spans="3:3" ht="15.75" customHeight="1" x14ac:dyDescent="0.3">
      <c r="C675" s="12"/>
    </row>
    <row r="676" spans="3:3" ht="15.75" customHeight="1" x14ac:dyDescent="0.3">
      <c r="C676" s="12"/>
    </row>
    <row r="677" spans="3:3" ht="15.75" customHeight="1" x14ac:dyDescent="0.3">
      <c r="C677" s="12"/>
    </row>
    <row r="678" spans="3:3" ht="15.75" customHeight="1" x14ac:dyDescent="0.3">
      <c r="C678" s="12"/>
    </row>
    <row r="679" spans="3:3" ht="15.75" customHeight="1" x14ac:dyDescent="0.3">
      <c r="C679" s="12"/>
    </row>
    <row r="680" spans="3:3" ht="15.75" customHeight="1" x14ac:dyDescent="0.3">
      <c r="C680" s="12"/>
    </row>
    <row r="681" spans="3:3" ht="15.75" customHeight="1" x14ac:dyDescent="0.3">
      <c r="C681" s="12"/>
    </row>
    <row r="682" spans="3:3" ht="15.75" customHeight="1" x14ac:dyDescent="0.3">
      <c r="C682" s="12"/>
    </row>
    <row r="683" spans="3:3" ht="15.75" customHeight="1" x14ac:dyDescent="0.3">
      <c r="C683" s="12"/>
    </row>
    <row r="684" spans="3:3" ht="15.75" customHeight="1" x14ac:dyDescent="0.3">
      <c r="C684" s="12"/>
    </row>
    <row r="685" spans="3:3" ht="15.75" customHeight="1" x14ac:dyDescent="0.3">
      <c r="C685" s="12"/>
    </row>
    <row r="686" spans="3:3" ht="15.75" customHeight="1" x14ac:dyDescent="0.3">
      <c r="C686" s="12"/>
    </row>
    <row r="687" spans="3:3" ht="15.75" customHeight="1" x14ac:dyDescent="0.3">
      <c r="C687" s="12"/>
    </row>
    <row r="688" spans="3:3" ht="15.75" customHeight="1" x14ac:dyDescent="0.3">
      <c r="C688" s="12"/>
    </row>
    <row r="689" spans="3:3" ht="15.75" customHeight="1" x14ac:dyDescent="0.3">
      <c r="C689" s="12"/>
    </row>
    <row r="690" spans="3:3" ht="15.75" customHeight="1" x14ac:dyDescent="0.3">
      <c r="C690" s="12"/>
    </row>
    <row r="691" spans="3:3" ht="15.75" customHeight="1" x14ac:dyDescent="0.3">
      <c r="C691" s="12"/>
    </row>
    <row r="692" spans="3:3" ht="15.75" customHeight="1" x14ac:dyDescent="0.3">
      <c r="C692" s="12"/>
    </row>
    <row r="693" spans="3:3" ht="15.75" customHeight="1" x14ac:dyDescent="0.3">
      <c r="C693" s="12"/>
    </row>
    <row r="694" spans="3:3" ht="15.75" customHeight="1" x14ac:dyDescent="0.3">
      <c r="C694" s="12"/>
    </row>
    <row r="695" spans="3:3" ht="15.75" customHeight="1" x14ac:dyDescent="0.3">
      <c r="C695" s="12"/>
    </row>
    <row r="696" spans="3:3" ht="15.75" customHeight="1" x14ac:dyDescent="0.3">
      <c r="C696" s="12"/>
    </row>
    <row r="697" spans="3:3" ht="15.75" customHeight="1" x14ac:dyDescent="0.3">
      <c r="C697" s="12"/>
    </row>
    <row r="698" spans="3:3" ht="15.75" customHeight="1" x14ac:dyDescent="0.3">
      <c r="C698" s="12"/>
    </row>
    <row r="699" spans="3:3" ht="15.75" customHeight="1" x14ac:dyDescent="0.3">
      <c r="C699" s="12"/>
    </row>
    <row r="700" spans="3:3" ht="15.75" customHeight="1" x14ac:dyDescent="0.3">
      <c r="C700" s="12"/>
    </row>
    <row r="701" spans="3:3" ht="15.75" customHeight="1" x14ac:dyDescent="0.3">
      <c r="C701" s="12"/>
    </row>
    <row r="702" spans="3:3" ht="15.75" customHeight="1" x14ac:dyDescent="0.3">
      <c r="C702" s="12"/>
    </row>
    <row r="703" spans="3:3" ht="15.75" customHeight="1" x14ac:dyDescent="0.3">
      <c r="C703" s="12"/>
    </row>
    <row r="704" spans="3:3" ht="15.75" customHeight="1" x14ac:dyDescent="0.3">
      <c r="C704" s="12"/>
    </row>
    <row r="705" spans="3:3" ht="15.75" customHeight="1" x14ac:dyDescent="0.3">
      <c r="C705" s="12"/>
    </row>
    <row r="706" spans="3:3" ht="15.75" customHeight="1" x14ac:dyDescent="0.3">
      <c r="C706" s="12"/>
    </row>
    <row r="707" spans="3:3" ht="15.75" customHeight="1" x14ac:dyDescent="0.3">
      <c r="C707" s="12"/>
    </row>
    <row r="708" spans="3:3" ht="15.75" customHeight="1" x14ac:dyDescent="0.3">
      <c r="C708" s="12"/>
    </row>
    <row r="709" spans="3:3" ht="15.75" customHeight="1" x14ac:dyDescent="0.3">
      <c r="C709" s="12"/>
    </row>
    <row r="710" spans="3:3" ht="15.75" customHeight="1" x14ac:dyDescent="0.3">
      <c r="C710" s="12"/>
    </row>
    <row r="711" spans="3:3" ht="15.75" customHeight="1" x14ac:dyDescent="0.3">
      <c r="C711" s="12"/>
    </row>
    <row r="712" spans="3:3" ht="15.75" customHeight="1" x14ac:dyDescent="0.3">
      <c r="C712" s="12"/>
    </row>
    <row r="713" spans="3:3" ht="15.75" customHeight="1" x14ac:dyDescent="0.3">
      <c r="C713" s="12"/>
    </row>
    <row r="714" spans="3:3" ht="15.75" customHeight="1" x14ac:dyDescent="0.3">
      <c r="C714" s="12"/>
    </row>
    <row r="715" spans="3:3" ht="15.75" customHeight="1" x14ac:dyDescent="0.3">
      <c r="C715" s="12"/>
    </row>
    <row r="716" spans="3:3" ht="15.75" customHeight="1" x14ac:dyDescent="0.3">
      <c r="C716" s="12"/>
    </row>
    <row r="717" spans="3:3" ht="15.75" customHeight="1" x14ac:dyDescent="0.3">
      <c r="C717" s="12"/>
    </row>
    <row r="718" spans="3:3" ht="15.75" customHeight="1" x14ac:dyDescent="0.3">
      <c r="C718" s="12"/>
    </row>
    <row r="719" spans="3:3" ht="15.75" customHeight="1" x14ac:dyDescent="0.3">
      <c r="C719" s="12"/>
    </row>
    <row r="720" spans="3:3" ht="15.75" customHeight="1" x14ac:dyDescent="0.3">
      <c r="C720" s="12"/>
    </row>
    <row r="721" spans="3:3" ht="15.75" customHeight="1" x14ac:dyDescent="0.3">
      <c r="C721" s="12"/>
    </row>
    <row r="722" spans="3:3" ht="15.75" customHeight="1" x14ac:dyDescent="0.3">
      <c r="C722" s="12"/>
    </row>
    <row r="723" spans="3:3" ht="15.75" customHeight="1" x14ac:dyDescent="0.3">
      <c r="C723" s="12"/>
    </row>
    <row r="724" spans="3:3" ht="15.75" customHeight="1" x14ac:dyDescent="0.3">
      <c r="C724" s="12"/>
    </row>
    <row r="725" spans="3:3" ht="15.75" customHeight="1" x14ac:dyDescent="0.3">
      <c r="C725" s="12"/>
    </row>
    <row r="726" spans="3:3" ht="15.75" customHeight="1" x14ac:dyDescent="0.3">
      <c r="C726" s="12"/>
    </row>
    <row r="727" spans="3:3" ht="15.75" customHeight="1" x14ac:dyDescent="0.3">
      <c r="C727" s="12"/>
    </row>
    <row r="728" spans="3:3" ht="15.75" customHeight="1" x14ac:dyDescent="0.3">
      <c r="C728" s="12"/>
    </row>
    <row r="729" spans="3:3" ht="15.75" customHeight="1" x14ac:dyDescent="0.3">
      <c r="C729" s="12"/>
    </row>
    <row r="730" spans="3:3" ht="15.75" customHeight="1" x14ac:dyDescent="0.3">
      <c r="C730" s="12"/>
    </row>
    <row r="731" spans="3:3" ht="15.75" customHeight="1" x14ac:dyDescent="0.3">
      <c r="C731" s="12"/>
    </row>
    <row r="732" spans="3:3" ht="15.75" customHeight="1" x14ac:dyDescent="0.3">
      <c r="C732" s="12"/>
    </row>
    <row r="733" spans="3:3" ht="15.75" customHeight="1" x14ac:dyDescent="0.3">
      <c r="C733" s="12"/>
    </row>
    <row r="734" spans="3:3" ht="15.75" customHeight="1" x14ac:dyDescent="0.3">
      <c r="C734" s="12"/>
    </row>
    <row r="735" spans="3:3" ht="15.75" customHeight="1" x14ac:dyDescent="0.3">
      <c r="C735" s="12"/>
    </row>
    <row r="736" spans="3:3" ht="15.75" customHeight="1" x14ac:dyDescent="0.3">
      <c r="C736" s="12"/>
    </row>
    <row r="737" spans="3:3" ht="15.75" customHeight="1" x14ac:dyDescent="0.3">
      <c r="C737" s="12"/>
    </row>
    <row r="738" spans="3:3" ht="15.75" customHeight="1" x14ac:dyDescent="0.3">
      <c r="C738" s="12"/>
    </row>
    <row r="739" spans="3:3" ht="15.75" customHeight="1" x14ac:dyDescent="0.3">
      <c r="C739" s="12"/>
    </row>
    <row r="740" spans="3:3" ht="15.75" customHeight="1" x14ac:dyDescent="0.3">
      <c r="C740" s="12"/>
    </row>
    <row r="741" spans="3:3" ht="15.75" customHeight="1" x14ac:dyDescent="0.3">
      <c r="C741" s="12"/>
    </row>
    <row r="742" spans="3:3" ht="15.75" customHeight="1" x14ac:dyDescent="0.3">
      <c r="C742" s="12"/>
    </row>
    <row r="743" spans="3:3" ht="15.75" customHeight="1" x14ac:dyDescent="0.3">
      <c r="C743" s="12"/>
    </row>
    <row r="744" spans="3:3" ht="15.75" customHeight="1" x14ac:dyDescent="0.3">
      <c r="C744" s="12"/>
    </row>
    <row r="745" spans="3:3" ht="15.75" customHeight="1" x14ac:dyDescent="0.3">
      <c r="C745" s="12"/>
    </row>
    <row r="746" spans="3:3" ht="15.75" customHeight="1" x14ac:dyDescent="0.3">
      <c r="C746" s="12"/>
    </row>
    <row r="747" spans="3:3" ht="15.75" customHeight="1" x14ac:dyDescent="0.3">
      <c r="C747" s="12"/>
    </row>
    <row r="748" spans="3:3" ht="15.75" customHeight="1" x14ac:dyDescent="0.3">
      <c r="C748" s="12"/>
    </row>
    <row r="749" spans="3:3" ht="15.75" customHeight="1" x14ac:dyDescent="0.3">
      <c r="C749" s="12"/>
    </row>
    <row r="750" spans="3:3" ht="15.75" customHeight="1" x14ac:dyDescent="0.3">
      <c r="C750" s="12"/>
    </row>
    <row r="751" spans="3:3" ht="15.75" customHeight="1" x14ac:dyDescent="0.3">
      <c r="C751" s="12"/>
    </row>
    <row r="752" spans="3:3" ht="15.75" customHeight="1" x14ac:dyDescent="0.3">
      <c r="C752" s="12"/>
    </row>
    <row r="753" spans="3:3" ht="15.75" customHeight="1" x14ac:dyDescent="0.3">
      <c r="C753" s="12"/>
    </row>
    <row r="754" spans="3:3" ht="15.75" customHeight="1" x14ac:dyDescent="0.3">
      <c r="C754" s="12"/>
    </row>
    <row r="755" spans="3:3" ht="15.75" customHeight="1" x14ac:dyDescent="0.3">
      <c r="C755" s="12"/>
    </row>
    <row r="756" spans="3:3" ht="15.75" customHeight="1" x14ac:dyDescent="0.3">
      <c r="C756" s="12"/>
    </row>
    <row r="757" spans="3:3" ht="15.75" customHeight="1" x14ac:dyDescent="0.3">
      <c r="C757" s="12"/>
    </row>
    <row r="758" spans="3:3" ht="15.75" customHeight="1" x14ac:dyDescent="0.3">
      <c r="C758" s="12"/>
    </row>
    <row r="759" spans="3:3" ht="15.75" customHeight="1" x14ac:dyDescent="0.3">
      <c r="C759" s="12"/>
    </row>
    <row r="760" spans="3:3" ht="15.75" customHeight="1" x14ac:dyDescent="0.3">
      <c r="C760" s="12"/>
    </row>
    <row r="761" spans="3:3" ht="15.75" customHeight="1" x14ac:dyDescent="0.3">
      <c r="C761" s="12"/>
    </row>
    <row r="762" spans="3:3" ht="15.75" customHeight="1" x14ac:dyDescent="0.3">
      <c r="C762" s="12"/>
    </row>
    <row r="763" spans="3:3" ht="15.75" customHeight="1" x14ac:dyDescent="0.3">
      <c r="C763" s="12"/>
    </row>
    <row r="764" spans="3:3" ht="15.75" customHeight="1" x14ac:dyDescent="0.3">
      <c r="C764" s="12"/>
    </row>
    <row r="765" spans="3:3" ht="15.75" customHeight="1" x14ac:dyDescent="0.3">
      <c r="C765" s="12"/>
    </row>
    <row r="766" spans="3:3" ht="15.75" customHeight="1" x14ac:dyDescent="0.3">
      <c r="C766" s="12"/>
    </row>
    <row r="767" spans="3:3" ht="15.75" customHeight="1" x14ac:dyDescent="0.3">
      <c r="C767" s="12"/>
    </row>
    <row r="768" spans="3:3" ht="15.75" customHeight="1" x14ac:dyDescent="0.3">
      <c r="C768" s="12"/>
    </row>
    <row r="769" spans="3:3" ht="15.75" customHeight="1" x14ac:dyDescent="0.3">
      <c r="C769" s="12"/>
    </row>
    <row r="770" spans="3:3" ht="15.75" customHeight="1" x14ac:dyDescent="0.3">
      <c r="C770" s="12"/>
    </row>
    <row r="771" spans="3:3" ht="15.75" customHeight="1" x14ac:dyDescent="0.3">
      <c r="C771" s="12"/>
    </row>
    <row r="772" spans="3:3" ht="15.75" customHeight="1" x14ac:dyDescent="0.3">
      <c r="C772" s="12"/>
    </row>
    <row r="773" spans="3:3" ht="15.75" customHeight="1" x14ac:dyDescent="0.3">
      <c r="C773" s="12"/>
    </row>
    <row r="774" spans="3:3" ht="15.75" customHeight="1" x14ac:dyDescent="0.3">
      <c r="C774" s="12"/>
    </row>
    <row r="775" spans="3:3" ht="15.75" customHeight="1" x14ac:dyDescent="0.3">
      <c r="C775" s="12"/>
    </row>
    <row r="776" spans="3:3" ht="15.75" customHeight="1" x14ac:dyDescent="0.3">
      <c r="C776" s="12"/>
    </row>
    <row r="777" spans="3:3" ht="15.75" customHeight="1" x14ac:dyDescent="0.3">
      <c r="C777" s="12"/>
    </row>
    <row r="778" spans="3:3" ht="15.75" customHeight="1" x14ac:dyDescent="0.3">
      <c r="C778" s="12"/>
    </row>
    <row r="779" spans="3:3" ht="15.75" customHeight="1" x14ac:dyDescent="0.3">
      <c r="C779" s="12"/>
    </row>
    <row r="780" spans="3:3" ht="15.75" customHeight="1" x14ac:dyDescent="0.3">
      <c r="C780" s="12"/>
    </row>
    <row r="781" spans="3:3" ht="15.75" customHeight="1" x14ac:dyDescent="0.3">
      <c r="C781" s="12"/>
    </row>
    <row r="782" spans="3:3" ht="15.75" customHeight="1" x14ac:dyDescent="0.3">
      <c r="C782" s="12"/>
    </row>
    <row r="783" spans="3:3" ht="15.75" customHeight="1" x14ac:dyDescent="0.3">
      <c r="C783" s="12"/>
    </row>
    <row r="784" spans="3:3" ht="15.75" customHeight="1" x14ac:dyDescent="0.3">
      <c r="C784" s="12"/>
    </row>
    <row r="785" spans="3:3" ht="15.75" customHeight="1" x14ac:dyDescent="0.3">
      <c r="C785" s="12"/>
    </row>
    <row r="786" spans="3:3" ht="15.75" customHeight="1" x14ac:dyDescent="0.3">
      <c r="C786" s="12"/>
    </row>
    <row r="787" spans="3:3" ht="15.75" customHeight="1" x14ac:dyDescent="0.3">
      <c r="C787" s="12"/>
    </row>
    <row r="788" spans="3:3" ht="15.75" customHeight="1" x14ac:dyDescent="0.3">
      <c r="C788" s="12"/>
    </row>
    <row r="789" spans="3:3" ht="15.75" customHeight="1" x14ac:dyDescent="0.3">
      <c r="C789" s="12"/>
    </row>
    <row r="790" spans="3:3" ht="15.75" customHeight="1" x14ac:dyDescent="0.3">
      <c r="C790" s="12"/>
    </row>
    <row r="791" spans="3:3" ht="15.75" customHeight="1" x14ac:dyDescent="0.3">
      <c r="C791" s="12"/>
    </row>
    <row r="792" spans="3:3" ht="15.75" customHeight="1" x14ac:dyDescent="0.3">
      <c r="C792" s="12"/>
    </row>
    <row r="793" spans="3:3" ht="15.75" customHeight="1" x14ac:dyDescent="0.3">
      <c r="C793" s="12"/>
    </row>
    <row r="794" spans="3:3" ht="15.75" customHeight="1" x14ac:dyDescent="0.3">
      <c r="C794" s="12"/>
    </row>
    <row r="795" spans="3:3" ht="15.75" customHeight="1" x14ac:dyDescent="0.3">
      <c r="C795" s="12"/>
    </row>
    <row r="796" spans="3:3" ht="15.75" customHeight="1" x14ac:dyDescent="0.3">
      <c r="C796" s="12"/>
    </row>
    <row r="797" spans="3:3" ht="15.75" customHeight="1" x14ac:dyDescent="0.3">
      <c r="C797" s="12"/>
    </row>
    <row r="798" spans="3:3" ht="15.75" customHeight="1" x14ac:dyDescent="0.3">
      <c r="C798" s="12"/>
    </row>
    <row r="799" spans="3:3" ht="15.75" customHeight="1" x14ac:dyDescent="0.3">
      <c r="C799" s="12"/>
    </row>
    <row r="800" spans="3:3" ht="15.75" customHeight="1" x14ac:dyDescent="0.3">
      <c r="C800" s="12"/>
    </row>
    <row r="801" spans="3:3" ht="15.75" customHeight="1" x14ac:dyDescent="0.3">
      <c r="C801" s="12"/>
    </row>
    <row r="802" spans="3:3" ht="15.75" customHeight="1" x14ac:dyDescent="0.3">
      <c r="C802" s="12"/>
    </row>
    <row r="803" spans="3:3" ht="15.75" customHeight="1" x14ac:dyDescent="0.3">
      <c r="C803" s="12"/>
    </row>
    <row r="804" spans="3:3" ht="15.75" customHeight="1" x14ac:dyDescent="0.3">
      <c r="C804" s="12"/>
    </row>
    <row r="805" spans="3:3" ht="15.75" customHeight="1" x14ac:dyDescent="0.3">
      <c r="C805" s="12"/>
    </row>
    <row r="806" spans="3:3" ht="15.75" customHeight="1" x14ac:dyDescent="0.3">
      <c r="C806" s="12"/>
    </row>
    <row r="807" spans="3:3" ht="15.75" customHeight="1" x14ac:dyDescent="0.3">
      <c r="C807" s="12"/>
    </row>
    <row r="808" spans="3:3" ht="15.75" customHeight="1" x14ac:dyDescent="0.3">
      <c r="C808" s="12"/>
    </row>
    <row r="809" spans="3:3" ht="15.75" customHeight="1" x14ac:dyDescent="0.3">
      <c r="C809" s="12"/>
    </row>
    <row r="810" spans="3:3" ht="15.75" customHeight="1" x14ac:dyDescent="0.3">
      <c r="C810" s="12"/>
    </row>
    <row r="811" spans="3:3" ht="15.75" customHeight="1" x14ac:dyDescent="0.3">
      <c r="C811" s="12"/>
    </row>
    <row r="812" spans="3:3" ht="15.75" customHeight="1" x14ac:dyDescent="0.3">
      <c r="C812" s="12"/>
    </row>
    <row r="813" spans="3:3" ht="15.75" customHeight="1" x14ac:dyDescent="0.3">
      <c r="C813" s="12"/>
    </row>
    <row r="814" spans="3:3" ht="15.75" customHeight="1" x14ac:dyDescent="0.3">
      <c r="C814" s="12"/>
    </row>
    <row r="815" spans="3:3" ht="15.75" customHeight="1" x14ac:dyDescent="0.3">
      <c r="C815" s="12"/>
    </row>
    <row r="816" spans="3:3" ht="15.75" customHeight="1" x14ac:dyDescent="0.3">
      <c r="C816" s="12"/>
    </row>
    <row r="817" spans="3:3" ht="15.75" customHeight="1" x14ac:dyDescent="0.3">
      <c r="C817" s="12"/>
    </row>
    <row r="818" spans="3:3" ht="15.75" customHeight="1" x14ac:dyDescent="0.3">
      <c r="C818" s="12"/>
    </row>
    <row r="819" spans="3:3" ht="15.75" customHeight="1" x14ac:dyDescent="0.3">
      <c r="C819" s="12"/>
    </row>
    <row r="820" spans="3:3" ht="15.75" customHeight="1" x14ac:dyDescent="0.3">
      <c r="C820" s="12"/>
    </row>
    <row r="821" spans="3:3" ht="15.75" customHeight="1" x14ac:dyDescent="0.3">
      <c r="C821" s="12"/>
    </row>
    <row r="822" spans="3:3" ht="15.75" customHeight="1" x14ac:dyDescent="0.3">
      <c r="C822" s="12"/>
    </row>
    <row r="823" spans="3:3" ht="15.75" customHeight="1" x14ac:dyDescent="0.3">
      <c r="C823" s="12"/>
    </row>
    <row r="824" spans="3:3" ht="15.75" customHeight="1" x14ac:dyDescent="0.3">
      <c r="C824" s="12"/>
    </row>
    <row r="825" spans="3:3" ht="15.75" customHeight="1" x14ac:dyDescent="0.3">
      <c r="C825" s="12"/>
    </row>
    <row r="826" spans="3:3" ht="15.75" customHeight="1" x14ac:dyDescent="0.3">
      <c r="C826" s="12"/>
    </row>
    <row r="827" spans="3:3" ht="15.75" customHeight="1" x14ac:dyDescent="0.3">
      <c r="C827" s="12"/>
    </row>
    <row r="828" spans="3:3" ht="15.75" customHeight="1" x14ac:dyDescent="0.3">
      <c r="C828" s="12"/>
    </row>
    <row r="829" spans="3:3" ht="15.75" customHeight="1" x14ac:dyDescent="0.3">
      <c r="C829" s="12"/>
    </row>
    <row r="830" spans="3:3" ht="15.75" customHeight="1" x14ac:dyDescent="0.3">
      <c r="C830" s="12"/>
    </row>
    <row r="831" spans="3:3" ht="15.75" customHeight="1" x14ac:dyDescent="0.3">
      <c r="C831" s="12"/>
    </row>
    <row r="832" spans="3:3" ht="15.75" customHeight="1" x14ac:dyDescent="0.3">
      <c r="C832" s="12"/>
    </row>
    <row r="833" spans="3:3" ht="15.75" customHeight="1" x14ac:dyDescent="0.3">
      <c r="C833" s="12"/>
    </row>
    <row r="834" spans="3:3" ht="15.75" customHeight="1" x14ac:dyDescent="0.3">
      <c r="C834" s="12"/>
    </row>
    <row r="835" spans="3:3" ht="15.75" customHeight="1" x14ac:dyDescent="0.3">
      <c r="C835" s="12"/>
    </row>
    <row r="836" spans="3:3" ht="15.75" customHeight="1" x14ac:dyDescent="0.3">
      <c r="C836" s="12"/>
    </row>
    <row r="837" spans="3:3" ht="15.75" customHeight="1" x14ac:dyDescent="0.3">
      <c r="C837" s="12"/>
    </row>
    <row r="838" spans="3:3" ht="15.75" customHeight="1" x14ac:dyDescent="0.3">
      <c r="C838" s="12"/>
    </row>
    <row r="839" spans="3:3" ht="15.75" customHeight="1" x14ac:dyDescent="0.3">
      <c r="C839" s="12"/>
    </row>
    <row r="840" spans="3:3" ht="15.75" customHeight="1" x14ac:dyDescent="0.3">
      <c r="C840" s="12"/>
    </row>
    <row r="841" spans="3:3" ht="15.75" customHeight="1" x14ac:dyDescent="0.3">
      <c r="C841" s="12"/>
    </row>
    <row r="842" spans="3:3" ht="15.75" customHeight="1" x14ac:dyDescent="0.3">
      <c r="C842" s="12"/>
    </row>
    <row r="843" spans="3:3" ht="15.75" customHeight="1" x14ac:dyDescent="0.3">
      <c r="C843" s="12"/>
    </row>
    <row r="844" spans="3:3" ht="15.75" customHeight="1" x14ac:dyDescent="0.3">
      <c r="C844" s="12"/>
    </row>
    <row r="845" spans="3:3" ht="15.75" customHeight="1" x14ac:dyDescent="0.3">
      <c r="C845" s="12"/>
    </row>
    <row r="846" spans="3:3" ht="15.75" customHeight="1" x14ac:dyDescent="0.3">
      <c r="C846" s="12"/>
    </row>
    <row r="847" spans="3:3" ht="15.75" customHeight="1" x14ac:dyDescent="0.3">
      <c r="C847" s="12"/>
    </row>
    <row r="848" spans="3:3" ht="15.75" customHeight="1" x14ac:dyDescent="0.3">
      <c r="C848" s="12"/>
    </row>
    <row r="849" spans="3:3" ht="15.75" customHeight="1" x14ac:dyDescent="0.3">
      <c r="C849" s="12"/>
    </row>
    <row r="850" spans="3:3" ht="15.75" customHeight="1" x14ac:dyDescent="0.3">
      <c r="C850" s="12"/>
    </row>
    <row r="851" spans="3:3" ht="15.75" customHeight="1" x14ac:dyDescent="0.3">
      <c r="C851" s="12"/>
    </row>
    <row r="852" spans="3:3" ht="15.75" customHeight="1" x14ac:dyDescent="0.3">
      <c r="C852" s="12"/>
    </row>
    <row r="853" spans="3:3" ht="15.75" customHeight="1" x14ac:dyDescent="0.3">
      <c r="C853" s="12"/>
    </row>
    <row r="854" spans="3:3" ht="15.75" customHeight="1" x14ac:dyDescent="0.3">
      <c r="C854" s="12"/>
    </row>
    <row r="855" spans="3:3" ht="15.75" customHeight="1" x14ac:dyDescent="0.3">
      <c r="C855" s="12"/>
    </row>
    <row r="856" spans="3:3" ht="15.75" customHeight="1" x14ac:dyDescent="0.3">
      <c r="C856" s="12"/>
    </row>
    <row r="857" spans="3:3" ht="15.75" customHeight="1" x14ac:dyDescent="0.3">
      <c r="C857" s="12"/>
    </row>
    <row r="858" spans="3:3" ht="15.75" customHeight="1" x14ac:dyDescent="0.3">
      <c r="C858" s="12"/>
    </row>
    <row r="859" spans="3:3" ht="15.75" customHeight="1" x14ac:dyDescent="0.3">
      <c r="C859" s="12"/>
    </row>
    <row r="860" spans="3:3" ht="15.75" customHeight="1" x14ac:dyDescent="0.3">
      <c r="C860" s="12"/>
    </row>
    <row r="861" spans="3:3" ht="15.75" customHeight="1" x14ac:dyDescent="0.3">
      <c r="C861" s="12"/>
    </row>
    <row r="862" spans="3:3" ht="15.75" customHeight="1" x14ac:dyDescent="0.3">
      <c r="C862" s="12"/>
    </row>
    <row r="863" spans="3:3" ht="15.75" customHeight="1" x14ac:dyDescent="0.3">
      <c r="C863" s="12"/>
    </row>
    <row r="864" spans="3:3" ht="15.75" customHeight="1" x14ac:dyDescent="0.3">
      <c r="C864" s="12"/>
    </row>
    <row r="865" spans="3:3" ht="15.75" customHeight="1" x14ac:dyDescent="0.3">
      <c r="C865" s="12"/>
    </row>
    <row r="866" spans="3:3" ht="15.75" customHeight="1" x14ac:dyDescent="0.3">
      <c r="C866" s="12"/>
    </row>
    <row r="867" spans="3:3" ht="15.75" customHeight="1" x14ac:dyDescent="0.3">
      <c r="C867" s="12"/>
    </row>
    <row r="868" spans="3:3" ht="15.75" customHeight="1" x14ac:dyDescent="0.3">
      <c r="C868" s="12"/>
    </row>
    <row r="869" spans="3:3" ht="15.75" customHeight="1" x14ac:dyDescent="0.3">
      <c r="C869" s="12"/>
    </row>
    <row r="870" spans="3:3" ht="15.75" customHeight="1" x14ac:dyDescent="0.3">
      <c r="C870" s="12"/>
    </row>
    <row r="871" spans="3:3" ht="15.75" customHeight="1" x14ac:dyDescent="0.3">
      <c r="C871" s="12"/>
    </row>
    <row r="872" spans="3:3" ht="15.75" customHeight="1" x14ac:dyDescent="0.3">
      <c r="C872" s="12"/>
    </row>
    <row r="873" spans="3:3" ht="15.75" customHeight="1" x14ac:dyDescent="0.3">
      <c r="C873" s="12"/>
    </row>
    <row r="874" spans="3:3" ht="15.75" customHeight="1" x14ac:dyDescent="0.3">
      <c r="C874" s="12"/>
    </row>
    <row r="875" spans="3:3" ht="15.75" customHeight="1" x14ac:dyDescent="0.3">
      <c r="C875" s="12"/>
    </row>
    <row r="876" spans="3:3" ht="15.75" customHeight="1" x14ac:dyDescent="0.3">
      <c r="C876" s="12"/>
    </row>
    <row r="877" spans="3:3" ht="15.75" customHeight="1" x14ac:dyDescent="0.3">
      <c r="C877" s="12"/>
    </row>
    <row r="878" spans="3:3" ht="15.75" customHeight="1" x14ac:dyDescent="0.3">
      <c r="C878" s="12"/>
    </row>
    <row r="879" spans="3:3" ht="15.75" customHeight="1" x14ac:dyDescent="0.3">
      <c r="C879" s="12"/>
    </row>
    <row r="880" spans="3:3" ht="15.75" customHeight="1" x14ac:dyDescent="0.3">
      <c r="C880" s="12"/>
    </row>
    <row r="881" spans="3:3" ht="15.75" customHeight="1" x14ac:dyDescent="0.3">
      <c r="C881" s="12"/>
    </row>
    <row r="882" spans="3:3" ht="15.75" customHeight="1" x14ac:dyDescent="0.3">
      <c r="C882" s="12"/>
    </row>
    <row r="883" spans="3:3" ht="15.75" customHeight="1" x14ac:dyDescent="0.3">
      <c r="C883" s="12"/>
    </row>
    <row r="884" spans="3:3" ht="15.75" customHeight="1" x14ac:dyDescent="0.3">
      <c r="C884" s="12"/>
    </row>
    <row r="885" spans="3:3" ht="15.75" customHeight="1" x14ac:dyDescent="0.3">
      <c r="C885" s="12"/>
    </row>
    <row r="886" spans="3:3" ht="15.75" customHeight="1" x14ac:dyDescent="0.3">
      <c r="C886" s="12"/>
    </row>
    <row r="887" spans="3:3" ht="15.75" customHeight="1" x14ac:dyDescent="0.3">
      <c r="C887" s="12"/>
    </row>
    <row r="888" spans="3:3" ht="15.75" customHeight="1" x14ac:dyDescent="0.3">
      <c r="C888" s="12"/>
    </row>
    <row r="889" spans="3:3" ht="15.75" customHeight="1" x14ac:dyDescent="0.3">
      <c r="C889" s="12"/>
    </row>
    <row r="890" spans="3:3" ht="15.75" customHeight="1" x14ac:dyDescent="0.3">
      <c r="C890" s="12"/>
    </row>
    <row r="891" spans="3:3" ht="15.75" customHeight="1" x14ac:dyDescent="0.3">
      <c r="C891" s="12"/>
    </row>
    <row r="892" spans="3:3" ht="15.75" customHeight="1" x14ac:dyDescent="0.3">
      <c r="C892" s="12"/>
    </row>
    <row r="893" spans="3:3" ht="15.75" customHeight="1" x14ac:dyDescent="0.3">
      <c r="C893" s="12"/>
    </row>
    <row r="894" spans="3:3" ht="15.75" customHeight="1" x14ac:dyDescent="0.3">
      <c r="C894" s="12"/>
    </row>
    <row r="895" spans="3:3" ht="15.75" customHeight="1" x14ac:dyDescent="0.3">
      <c r="C895" s="12"/>
    </row>
    <row r="896" spans="3:3" ht="15.75" customHeight="1" x14ac:dyDescent="0.3">
      <c r="C896" s="12"/>
    </row>
    <row r="897" spans="3:3" ht="15.75" customHeight="1" x14ac:dyDescent="0.3">
      <c r="C897" s="12"/>
    </row>
    <row r="898" spans="3:3" ht="15.75" customHeight="1" x14ac:dyDescent="0.3">
      <c r="C898" s="12"/>
    </row>
    <row r="899" spans="3:3" ht="15.75" customHeight="1" x14ac:dyDescent="0.3">
      <c r="C899" s="12"/>
    </row>
    <row r="900" spans="3:3" ht="15.75" customHeight="1" x14ac:dyDescent="0.3">
      <c r="C900" s="12"/>
    </row>
    <row r="901" spans="3:3" ht="15.75" customHeight="1" x14ac:dyDescent="0.3">
      <c r="C901" s="12"/>
    </row>
    <row r="902" spans="3:3" ht="15.75" customHeight="1" x14ac:dyDescent="0.3">
      <c r="C902" s="12"/>
    </row>
    <row r="903" spans="3:3" ht="15.75" customHeight="1" x14ac:dyDescent="0.3">
      <c r="C903" s="12"/>
    </row>
    <row r="904" spans="3:3" ht="15.75" customHeight="1" x14ac:dyDescent="0.3">
      <c r="C904" s="12"/>
    </row>
    <row r="905" spans="3:3" ht="15.75" customHeight="1" x14ac:dyDescent="0.3">
      <c r="C905" s="12"/>
    </row>
    <row r="906" spans="3:3" ht="15.75" customHeight="1" x14ac:dyDescent="0.3">
      <c r="C906" s="12"/>
    </row>
    <row r="907" spans="3:3" ht="15.75" customHeight="1" x14ac:dyDescent="0.3">
      <c r="C907" s="12"/>
    </row>
    <row r="908" spans="3:3" ht="15.75" customHeight="1" x14ac:dyDescent="0.3">
      <c r="C908" s="12"/>
    </row>
    <row r="909" spans="3:3" ht="15.75" customHeight="1" x14ac:dyDescent="0.3">
      <c r="C909" s="12"/>
    </row>
    <row r="910" spans="3:3" ht="15.75" customHeight="1" x14ac:dyDescent="0.3">
      <c r="C910" s="12"/>
    </row>
    <row r="911" spans="3:3" ht="15.75" customHeight="1" x14ac:dyDescent="0.3">
      <c r="C911" s="12"/>
    </row>
    <row r="912" spans="3:3" ht="15.75" customHeight="1" x14ac:dyDescent="0.3">
      <c r="C912" s="12"/>
    </row>
    <row r="913" spans="3:3" ht="15.75" customHeight="1" x14ac:dyDescent="0.3">
      <c r="C913" s="12"/>
    </row>
    <row r="914" spans="3:3" ht="15.75" customHeight="1" x14ac:dyDescent="0.3">
      <c r="C914" s="12"/>
    </row>
    <row r="915" spans="3:3" ht="15.75" customHeight="1" x14ac:dyDescent="0.3">
      <c r="C915" s="12"/>
    </row>
    <row r="916" spans="3:3" ht="15.75" customHeight="1" x14ac:dyDescent="0.3">
      <c r="C916" s="12"/>
    </row>
    <row r="917" spans="3:3" ht="15.75" customHeight="1" x14ac:dyDescent="0.3">
      <c r="C917" s="12"/>
    </row>
    <row r="918" spans="3:3" ht="15.75" customHeight="1" x14ac:dyDescent="0.3">
      <c r="C918" s="12"/>
    </row>
    <row r="919" spans="3:3" ht="15.75" customHeight="1" x14ac:dyDescent="0.3">
      <c r="C919" s="12"/>
    </row>
    <row r="920" spans="3:3" ht="15.75" customHeight="1" x14ac:dyDescent="0.3">
      <c r="C920" s="12"/>
    </row>
    <row r="921" spans="3:3" ht="15.75" customHeight="1" x14ac:dyDescent="0.3">
      <c r="C921" s="12"/>
    </row>
    <row r="922" spans="3:3" ht="15.75" customHeight="1" x14ac:dyDescent="0.3">
      <c r="C922" s="12"/>
    </row>
    <row r="923" spans="3:3" ht="15.75" customHeight="1" x14ac:dyDescent="0.3">
      <c r="C923" s="12"/>
    </row>
    <row r="924" spans="3:3" ht="15.75" customHeight="1" x14ac:dyDescent="0.3">
      <c r="C924" s="12"/>
    </row>
    <row r="925" spans="3:3" ht="15.75" customHeight="1" x14ac:dyDescent="0.3">
      <c r="C925" s="12"/>
    </row>
    <row r="926" spans="3:3" ht="15.75" customHeight="1" x14ac:dyDescent="0.3">
      <c r="C926" s="12"/>
    </row>
    <row r="927" spans="3:3" ht="15.75" customHeight="1" x14ac:dyDescent="0.3">
      <c r="C927" s="12"/>
    </row>
    <row r="928" spans="3:3" ht="15.75" customHeight="1" x14ac:dyDescent="0.3">
      <c r="C928" s="12"/>
    </row>
    <row r="929" spans="3:3" ht="15.75" customHeight="1" x14ac:dyDescent="0.3">
      <c r="C929" s="12"/>
    </row>
    <row r="930" spans="3:3" ht="15.75" customHeight="1" x14ac:dyDescent="0.3">
      <c r="C930" s="12"/>
    </row>
    <row r="931" spans="3:3" ht="15.75" customHeight="1" x14ac:dyDescent="0.3">
      <c r="C931" s="12"/>
    </row>
    <row r="932" spans="3:3" ht="15.75" customHeight="1" x14ac:dyDescent="0.3">
      <c r="C932" s="12"/>
    </row>
    <row r="933" spans="3:3" ht="15.75" customHeight="1" x14ac:dyDescent="0.3">
      <c r="C933" s="12"/>
    </row>
    <row r="934" spans="3:3" ht="15.75" customHeight="1" x14ac:dyDescent="0.3">
      <c r="C934" s="12"/>
    </row>
    <row r="935" spans="3:3" ht="15.75" customHeight="1" x14ac:dyDescent="0.3">
      <c r="C935" s="12"/>
    </row>
    <row r="936" spans="3:3" ht="15.75" customHeight="1" x14ac:dyDescent="0.3">
      <c r="C936" s="12"/>
    </row>
    <row r="937" spans="3:3" ht="15.75" customHeight="1" x14ac:dyDescent="0.3">
      <c r="C937" s="12"/>
    </row>
    <row r="938" spans="3:3" ht="15.75" customHeight="1" x14ac:dyDescent="0.3">
      <c r="C938" s="12"/>
    </row>
    <row r="939" spans="3:3" ht="15.75" customHeight="1" x14ac:dyDescent="0.3">
      <c r="C939" s="12"/>
    </row>
    <row r="940" spans="3:3" ht="15.75" customHeight="1" x14ac:dyDescent="0.3">
      <c r="C940" s="12"/>
    </row>
    <row r="941" spans="3:3" ht="15.75" customHeight="1" x14ac:dyDescent="0.3">
      <c r="C941" s="12"/>
    </row>
    <row r="942" spans="3:3" ht="15.75" customHeight="1" x14ac:dyDescent="0.3">
      <c r="C942" s="12"/>
    </row>
    <row r="943" spans="3:3" ht="15.75" customHeight="1" x14ac:dyDescent="0.3">
      <c r="C943" s="12"/>
    </row>
    <row r="944" spans="3:3" ht="15.75" customHeight="1" x14ac:dyDescent="0.3">
      <c r="C944" s="12"/>
    </row>
    <row r="945" spans="3:3" ht="15.75" customHeight="1" x14ac:dyDescent="0.3">
      <c r="C945" s="12"/>
    </row>
    <row r="946" spans="3:3" ht="15.75" customHeight="1" x14ac:dyDescent="0.3">
      <c r="C946" s="12"/>
    </row>
    <row r="947" spans="3:3" ht="15.75" customHeight="1" x14ac:dyDescent="0.3">
      <c r="C947" s="12"/>
    </row>
    <row r="948" spans="3:3" ht="15.75" customHeight="1" x14ac:dyDescent="0.3">
      <c r="C948" s="12"/>
    </row>
    <row r="949" spans="3:3" ht="15.75" customHeight="1" x14ac:dyDescent="0.3">
      <c r="C949" s="12"/>
    </row>
    <row r="950" spans="3:3" ht="15.75" customHeight="1" x14ac:dyDescent="0.3">
      <c r="C950" s="12"/>
    </row>
    <row r="951" spans="3:3" ht="15.75" customHeight="1" x14ac:dyDescent="0.3">
      <c r="C951" s="12"/>
    </row>
    <row r="952" spans="3:3" ht="15.75" customHeight="1" x14ac:dyDescent="0.3">
      <c r="C952" s="12"/>
    </row>
    <row r="953" spans="3:3" ht="15.75" customHeight="1" x14ac:dyDescent="0.3">
      <c r="C953" s="12"/>
    </row>
    <row r="954" spans="3:3" ht="15.75" customHeight="1" x14ac:dyDescent="0.3">
      <c r="C954" s="12"/>
    </row>
    <row r="955" spans="3:3" ht="15.75" customHeight="1" x14ac:dyDescent="0.3">
      <c r="C955" s="12"/>
    </row>
    <row r="956" spans="3:3" ht="15.75" customHeight="1" x14ac:dyDescent="0.3">
      <c r="C956" s="12"/>
    </row>
    <row r="957" spans="3:3" ht="15.75" customHeight="1" x14ac:dyDescent="0.3">
      <c r="C957" s="12"/>
    </row>
    <row r="958" spans="3:3" ht="15.75" customHeight="1" x14ac:dyDescent="0.3">
      <c r="C958" s="12"/>
    </row>
    <row r="959" spans="3:3" ht="15.75" customHeight="1" x14ac:dyDescent="0.3">
      <c r="C959" s="12"/>
    </row>
    <row r="960" spans="3:3" ht="15.75" customHeight="1" x14ac:dyDescent="0.3">
      <c r="C960" s="12"/>
    </row>
    <row r="961" spans="3:3" ht="15.75" customHeight="1" x14ac:dyDescent="0.3">
      <c r="C961" s="12"/>
    </row>
    <row r="962" spans="3:3" ht="15.75" customHeight="1" x14ac:dyDescent="0.3">
      <c r="C962" s="12"/>
    </row>
    <row r="963" spans="3:3" ht="15.75" customHeight="1" x14ac:dyDescent="0.3">
      <c r="C963" s="12"/>
    </row>
    <row r="964" spans="3:3" ht="15.75" customHeight="1" x14ac:dyDescent="0.3">
      <c r="C964" s="12"/>
    </row>
    <row r="965" spans="3:3" ht="15.75" customHeight="1" x14ac:dyDescent="0.3">
      <c r="C965" s="12"/>
    </row>
    <row r="966" spans="3:3" ht="15.75" customHeight="1" x14ac:dyDescent="0.3">
      <c r="C966" s="12"/>
    </row>
    <row r="967" spans="3:3" ht="15.75" customHeight="1" x14ac:dyDescent="0.3">
      <c r="C967" s="12"/>
    </row>
    <row r="968" spans="3:3" ht="15.75" customHeight="1" x14ac:dyDescent="0.3">
      <c r="C968" s="12"/>
    </row>
    <row r="969" spans="3:3" ht="15.75" customHeight="1" x14ac:dyDescent="0.3">
      <c r="C969" s="12"/>
    </row>
    <row r="970" spans="3:3" ht="15.75" customHeight="1" x14ac:dyDescent="0.3">
      <c r="C970" s="12"/>
    </row>
    <row r="971" spans="3:3" ht="15.75" customHeight="1" x14ac:dyDescent="0.3">
      <c r="C971" s="12"/>
    </row>
    <row r="972" spans="3:3" ht="15.75" customHeight="1" x14ac:dyDescent="0.3">
      <c r="C972" s="12"/>
    </row>
    <row r="973" spans="3:3" ht="15.75" customHeight="1" x14ac:dyDescent="0.3">
      <c r="C973" s="12"/>
    </row>
    <row r="974" spans="3:3" ht="15.75" customHeight="1" x14ac:dyDescent="0.3">
      <c r="C974" s="12"/>
    </row>
    <row r="975" spans="3:3" ht="15.75" customHeight="1" x14ac:dyDescent="0.3">
      <c r="C975" s="12"/>
    </row>
    <row r="976" spans="3:3" ht="15.75" customHeight="1" x14ac:dyDescent="0.3">
      <c r="C976" s="12"/>
    </row>
    <row r="977" spans="3:3" ht="15.75" customHeight="1" x14ac:dyDescent="0.3">
      <c r="C977" s="12"/>
    </row>
    <row r="978" spans="3:3" ht="15.75" customHeight="1" x14ac:dyDescent="0.3">
      <c r="C978" s="12"/>
    </row>
    <row r="979" spans="3:3" ht="15.75" customHeight="1" x14ac:dyDescent="0.3">
      <c r="C979" s="12"/>
    </row>
    <row r="980" spans="3:3" ht="15.75" customHeight="1" x14ac:dyDescent="0.3">
      <c r="C980" s="12"/>
    </row>
    <row r="981" spans="3:3" ht="15.75" customHeight="1" x14ac:dyDescent="0.3">
      <c r="C981" s="12"/>
    </row>
    <row r="982" spans="3:3" ht="15.75" customHeight="1" x14ac:dyDescent="0.3">
      <c r="C982" s="12"/>
    </row>
    <row r="983" spans="3:3" ht="15.75" customHeight="1" x14ac:dyDescent="0.3">
      <c r="C983" s="12"/>
    </row>
    <row r="984" spans="3:3" ht="15.75" customHeight="1" x14ac:dyDescent="0.3">
      <c r="C984" s="12"/>
    </row>
    <row r="985" spans="3:3" ht="15.75" customHeight="1" x14ac:dyDescent="0.3">
      <c r="C985" s="12"/>
    </row>
    <row r="986" spans="3:3" ht="15.75" customHeight="1" x14ac:dyDescent="0.3">
      <c r="C986" s="12"/>
    </row>
    <row r="987" spans="3:3" ht="15.75" customHeight="1" x14ac:dyDescent="0.3">
      <c r="C987" s="12"/>
    </row>
    <row r="988" spans="3:3" ht="15.75" customHeight="1" x14ac:dyDescent="0.3">
      <c r="C988" s="12"/>
    </row>
    <row r="989" spans="3:3" ht="15.75" customHeight="1" x14ac:dyDescent="0.3">
      <c r="C989" s="12"/>
    </row>
    <row r="990" spans="3:3" ht="15.75" customHeight="1" x14ac:dyDescent="0.3">
      <c r="C990" s="12"/>
    </row>
    <row r="991" spans="3:3" ht="15.75" customHeight="1" x14ac:dyDescent="0.3">
      <c r="C991" s="12"/>
    </row>
    <row r="992" spans="3:3" ht="15.75" customHeight="1" x14ac:dyDescent="0.3">
      <c r="C992" s="12"/>
    </row>
    <row r="993" spans="3:3" ht="15.75" customHeight="1" x14ac:dyDescent="0.3">
      <c r="C993" s="12"/>
    </row>
    <row r="994" spans="3:3" ht="15.75" customHeight="1" x14ac:dyDescent="0.3">
      <c r="C994" s="12"/>
    </row>
    <row r="995" spans="3:3" ht="15.75" customHeight="1" x14ac:dyDescent="0.3">
      <c r="C995" s="12"/>
    </row>
    <row r="996" spans="3:3" ht="15.75" customHeight="1" x14ac:dyDescent="0.3">
      <c r="C996" s="12"/>
    </row>
    <row r="997" spans="3:3" ht="15.75" customHeight="1" x14ac:dyDescent="0.3">
      <c r="C997" s="12"/>
    </row>
    <row r="998" spans="3:3" ht="15.75" customHeight="1" x14ac:dyDescent="0.3">
      <c r="C998" s="12"/>
    </row>
    <row r="999" spans="3:3" ht="15.75" customHeight="1" x14ac:dyDescent="0.3">
      <c r="C999" s="12"/>
    </row>
    <row r="1000" spans="3:3" ht="15.75" customHeight="1" x14ac:dyDescent="0.3">
      <c r="C1000" s="12"/>
    </row>
  </sheetData>
  <mergeCells count="6">
    <mergeCell ref="Y38:AA38"/>
    <mergeCell ref="O1:U1"/>
    <mergeCell ref="A2:G2"/>
    <mergeCell ref="A3:I3"/>
    <mergeCell ref="U3:W3"/>
    <mergeCell ref="A4:G4"/>
  </mergeCells>
  <conditionalFormatting sqref="K7:K37">
    <cfRule type="cellIs" dxfId="50" priority="1" operator="greaterThan">
      <formula>449</formula>
    </cfRule>
  </conditionalFormatting>
  <conditionalFormatting sqref="L7:L37">
    <cfRule type="cellIs" dxfId="49" priority="2" operator="between">
      <formula>17</formula>
      <formula>24</formula>
    </cfRule>
  </conditionalFormatting>
  <conditionalFormatting sqref="J7:N37">
    <cfRule type="expression" dxfId="48" priority="3">
      <formula>ISERROR(J7)</formula>
    </cfRule>
  </conditionalFormatting>
  <conditionalFormatting sqref="M7:M37">
    <cfRule type="cellIs" dxfId="47" priority="4" operator="between">
      <formula>5.9</formula>
      <formula>10</formula>
    </cfRule>
  </conditionalFormatting>
  <conditionalFormatting sqref="J7:J37">
    <cfRule type="cellIs" dxfId="46" priority="5" operator="greaterThanOrEqual">
      <formula>13.1</formula>
    </cfRule>
  </conditionalFormatting>
  <conditionalFormatting sqref="U7:W38">
    <cfRule type="expression" dxfId="45" priority="6">
      <formula>ISERROR(U7)</formula>
    </cfRule>
  </conditionalFormatting>
  <conditionalFormatting sqref="G7:G37">
    <cfRule type="notContainsBlanks" dxfId="44" priority="7">
      <formula>LEN(TRIM(G7))&gt;0</formula>
    </cfRule>
  </conditionalFormatting>
  <conditionalFormatting sqref="D7:F37 C7:C17 C19:C37 B7:B37">
    <cfRule type="containsText" dxfId="43" priority="8" operator="containsText" text="ABSENT">
      <formula>NOT(ISERROR(SEARCH(("ABSENT"),(B7))))</formula>
    </cfRule>
  </conditionalFormatting>
  <conditionalFormatting sqref="B7:B37">
    <cfRule type="cellIs" dxfId="42" priority="9" operator="greaterThan">
      <formula>$S$4</formula>
    </cfRule>
  </conditionalFormatting>
  <conditionalFormatting sqref="B7:B37">
    <cfRule type="cellIs" dxfId="41" priority="10" operator="between">
      <formula>$K$4</formula>
      <formula>$S$4</formula>
    </cfRule>
  </conditionalFormatting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C1000"/>
  <sheetViews>
    <sheetView tabSelected="1" topLeftCell="C1" zoomScale="73" zoomScaleNormal="73" workbookViewId="0">
      <selection activeCell="I20" sqref="I20"/>
    </sheetView>
  </sheetViews>
  <sheetFormatPr defaultColWidth="14.44140625" defaultRowHeight="15" customHeight="1" x14ac:dyDescent="0.3"/>
  <cols>
    <col min="1" max="1" width="7.33203125" customWidth="1"/>
    <col min="2" max="2" width="10.5546875" customWidth="1"/>
    <col min="3" max="4" width="11.44140625" customWidth="1"/>
    <col min="5" max="5" width="9.88671875" customWidth="1"/>
    <col min="6" max="6" width="9.6640625" customWidth="1"/>
    <col min="7" max="7" width="9.5546875" customWidth="1"/>
    <col min="8" max="8" width="11.77734375" customWidth="1"/>
    <col min="9" max="9" width="11.88671875" customWidth="1"/>
    <col min="10" max="10" width="13.88671875" customWidth="1"/>
    <col min="11" max="11" width="9.6640625" customWidth="1"/>
    <col min="12" max="12" width="12.109375" customWidth="1"/>
    <col min="13" max="13" width="12.88671875" customWidth="1"/>
    <col min="14" max="14" width="9.44140625" customWidth="1"/>
    <col min="15" max="15" width="9.88671875" customWidth="1"/>
    <col min="16" max="16" width="10.21875" customWidth="1"/>
    <col min="17" max="17" width="11.5546875" customWidth="1"/>
    <col min="18" max="18" width="9.6640625" customWidth="1"/>
    <col min="19" max="19" width="9.109375" customWidth="1"/>
    <col min="20" max="20" width="15" customWidth="1"/>
    <col min="21" max="21" width="9.109375" customWidth="1"/>
    <col min="22" max="22" width="10.88671875" customWidth="1"/>
    <col min="23" max="23" width="9.109375" customWidth="1"/>
    <col min="24" max="25" width="10.109375" customWidth="1"/>
    <col min="26" max="26" width="4" customWidth="1"/>
    <col min="27" max="27" width="3.88671875" customWidth="1"/>
    <col min="28" max="28" width="14.44140625" customWidth="1"/>
    <col min="29" max="29" width="5.88671875" customWidth="1"/>
  </cols>
  <sheetData>
    <row r="1" spans="1:29" ht="25.2" x14ac:dyDescent="0.6">
      <c r="A1" s="103" t="s">
        <v>77</v>
      </c>
      <c r="B1" s="109"/>
      <c r="C1" s="109"/>
      <c r="D1" s="109"/>
    </row>
    <row r="2" spans="1:29" ht="15.6" x14ac:dyDescent="0.3">
      <c r="A2" s="110" t="str">
        <f>DATE!A2</f>
        <v>Oct. 13-27, 2025</v>
      </c>
      <c r="B2" s="111"/>
      <c r="C2" s="111"/>
      <c r="D2" s="111"/>
      <c r="E2" s="111"/>
      <c r="F2" s="111"/>
      <c r="G2" s="111"/>
      <c r="H2" s="2"/>
      <c r="N2" s="3" t="s">
        <v>0</v>
      </c>
      <c r="O2" s="4" t="s">
        <v>1</v>
      </c>
      <c r="P2" s="4"/>
      <c r="Q2" s="4"/>
      <c r="R2" s="4"/>
      <c r="S2" s="4"/>
    </row>
    <row r="3" spans="1:29" ht="14.4" x14ac:dyDescent="0.3">
      <c r="A3" s="104" t="s">
        <v>80</v>
      </c>
      <c r="B3" s="105"/>
      <c r="C3" s="105"/>
      <c r="D3" s="105"/>
      <c r="E3" s="105"/>
      <c r="F3" s="105"/>
      <c r="G3" s="105"/>
      <c r="H3" s="105"/>
      <c r="I3" s="106"/>
      <c r="J3" s="5">
        <v>0.74027777777777781</v>
      </c>
      <c r="K3" s="6">
        <v>0.33680555555555558</v>
      </c>
      <c r="L3" s="6">
        <v>0.70833333333333337</v>
      </c>
      <c r="M3" s="7" t="s">
        <v>2</v>
      </c>
      <c r="N3" s="8">
        <v>13000</v>
      </c>
      <c r="O3" s="9">
        <f>$N$3/26</f>
        <v>500</v>
      </c>
      <c r="P3" s="10">
        <f>($N$3/26)/8</f>
        <v>62.5</v>
      </c>
      <c r="Q3" s="11">
        <f>($N$3/26)/480</f>
        <v>1.0416666666666667</v>
      </c>
      <c r="R3" s="12">
        <v>0.5</v>
      </c>
      <c r="S3" s="5">
        <v>0.34027777777777773</v>
      </c>
      <c r="T3" s="13" t="s">
        <v>3</v>
      </c>
      <c r="U3" s="123" t="s">
        <v>4</v>
      </c>
      <c r="V3" s="124"/>
      <c r="W3" s="125"/>
      <c r="X3" s="119" t="s">
        <v>5</v>
      </c>
      <c r="Y3" s="126" t="s">
        <v>6</v>
      </c>
      <c r="Z3" s="127"/>
      <c r="AA3" s="128"/>
      <c r="AB3" s="118" t="s">
        <v>7</v>
      </c>
      <c r="AC3" s="19"/>
    </row>
    <row r="4" spans="1:29" ht="15.6" x14ac:dyDescent="0.3">
      <c r="A4" s="97" t="s">
        <v>78</v>
      </c>
      <c r="B4" s="90"/>
      <c r="C4" s="90"/>
      <c r="D4" s="90"/>
      <c r="E4" s="90"/>
      <c r="F4" s="90"/>
      <c r="G4" s="90"/>
      <c r="H4" s="113" t="s">
        <v>8</v>
      </c>
      <c r="I4" s="114"/>
      <c r="J4" s="22">
        <v>0.73958333333333337</v>
      </c>
      <c r="K4" s="5">
        <v>0.33749999999999997</v>
      </c>
      <c r="L4" s="23">
        <v>0.3444444444444445</v>
      </c>
      <c r="N4" s="24" t="s">
        <v>9</v>
      </c>
      <c r="O4" s="25" t="s">
        <v>10</v>
      </c>
      <c r="P4" s="25" t="s">
        <v>11</v>
      </c>
      <c r="Q4" s="26" t="s">
        <v>12</v>
      </c>
      <c r="R4" s="27" t="s">
        <v>13</v>
      </c>
      <c r="S4" s="23">
        <v>0.34375</v>
      </c>
      <c r="T4" s="122" t="s">
        <v>14</v>
      </c>
      <c r="U4" s="119" t="s">
        <v>15</v>
      </c>
      <c r="V4" s="119" t="s">
        <v>15</v>
      </c>
      <c r="W4" s="119" t="s">
        <v>15</v>
      </c>
      <c r="X4" s="119" t="s">
        <v>16</v>
      </c>
      <c r="Y4" s="119" t="s">
        <v>17</v>
      </c>
      <c r="Z4" s="127"/>
      <c r="AA4" s="128"/>
      <c r="AB4" s="128"/>
      <c r="AC4" s="19"/>
    </row>
    <row r="5" spans="1:29" ht="14.4" x14ac:dyDescent="0.3">
      <c r="A5" s="108" t="s">
        <v>18</v>
      </c>
      <c r="B5" s="107" t="s">
        <v>19</v>
      </c>
      <c r="C5" s="107" t="s">
        <v>19</v>
      </c>
      <c r="D5" s="112" t="s">
        <v>20</v>
      </c>
      <c r="E5" s="112" t="s">
        <v>20</v>
      </c>
      <c r="F5" s="138" t="s">
        <v>21</v>
      </c>
      <c r="G5" s="117" t="s">
        <v>22</v>
      </c>
      <c r="H5" s="115" t="s">
        <v>23</v>
      </c>
      <c r="I5" s="116" t="s">
        <v>23</v>
      </c>
      <c r="J5" s="119" t="s">
        <v>24</v>
      </c>
      <c r="K5" s="119" t="s">
        <v>25</v>
      </c>
      <c r="L5" s="119" t="s">
        <v>26</v>
      </c>
      <c r="M5" s="119" t="s">
        <v>26</v>
      </c>
      <c r="N5" s="119" t="s">
        <v>27</v>
      </c>
      <c r="O5" s="120" t="s">
        <v>28</v>
      </c>
      <c r="P5" s="120" t="s">
        <v>29</v>
      </c>
      <c r="Q5" s="120" t="s">
        <v>30</v>
      </c>
      <c r="R5" s="121" t="s">
        <v>23</v>
      </c>
      <c r="S5" s="120" t="s">
        <v>22</v>
      </c>
      <c r="T5" s="122" t="s">
        <v>31</v>
      </c>
      <c r="U5" s="119" t="s">
        <v>32</v>
      </c>
      <c r="V5" s="119" t="s">
        <v>32</v>
      </c>
      <c r="W5" s="119" t="s">
        <v>32</v>
      </c>
      <c r="X5" s="119" t="s">
        <v>33</v>
      </c>
      <c r="Y5" s="119" t="s">
        <v>34</v>
      </c>
      <c r="Z5" s="127"/>
      <c r="AA5" s="128"/>
      <c r="AB5" s="128"/>
      <c r="AC5" s="19"/>
    </row>
    <row r="6" spans="1:29" ht="14.4" x14ac:dyDescent="0.3">
      <c r="A6" s="37" t="s">
        <v>35</v>
      </c>
      <c r="B6" s="37" t="s">
        <v>36</v>
      </c>
      <c r="C6" s="37" t="s">
        <v>37</v>
      </c>
      <c r="D6" s="37" t="s">
        <v>36</v>
      </c>
      <c r="E6" s="37" t="s">
        <v>37</v>
      </c>
      <c r="F6" s="138" t="s">
        <v>38</v>
      </c>
      <c r="G6" s="118" t="s">
        <v>37</v>
      </c>
      <c r="H6" s="37" t="s">
        <v>36</v>
      </c>
      <c r="I6" s="37" t="s">
        <v>37</v>
      </c>
      <c r="J6" s="119" t="s">
        <v>39</v>
      </c>
      <c r="K6" s="119" t="s">
        <v>40</v>
      </c>
      <c r="L6" s="119" t="s">
        <v>30</v>
      </c>
      <c r="M6" s="119" t="s">
        <v>22</v>
      </c>
      <c r="N6" s="119" t="s">
        <v>21</v>
      </c>
      <c r="O6" s="119" t="s">
        <v>41</v>
      </c>
      <c r="P6" s="119" t="s">
        <v>41</v>
      </c>
      <c r="Q6" s="119" t="s">
        <v>41</v>
      </c>
      <c r="R6" s="119" t="s">
        <v>41</v>
      </c>
      <c r="S6" s="119" t="s">
        <v>42</v>
      </c>
      <c r="T6" s="122" t="s">
        <v>43</v>
      </c>
      <c r="U6" s="119" t="s">
        <v>44</v>
      </c>
      <c r="V6" s="129" t="s">
        <v>45</v>
      </c>
      <c r="W6" s="119" t="s">
        <v>22</v>
      </c>
      <c r="X6" s="119" t="s">
        <v>46</v>
      </c>
      <c r="Y6" s="119" t="s">
        <v>47</v>
      </c>
      <c r="Z6" s="119" t="s">
        <v>48</v>
      </c>
      <c r="AA6" s="130" t="s">
        <v>49</v>
      </c>
      <c r="AB6" s="128" t="s">
        <v>50</v>
      </c>
      <c r="AC6" s="19"/>
    </row>
    <row r="7" spans="1:29" ht="14.4" x14ac:dyDescent="0.3">
      <c r="A7" s="12">
        <v>1</v>
      </c>
      <c r="B7" s="41"/>
      <c r="C7" s="41"/>
      <c r="D7" s="41"/>
      <c r="E7" s="41"/>
      <c r="F7" s="42"/>
      <c r="G7" s="43" t="str">
        <f t="shared" ref="G7:G37" si="0">IF(E7&gt;$J$4,E7,"")</f>
        <v/>
      </c>
      <c r="H7" s="41"/>
      <c r="I7" s="41"/>
      <c r="J7" s="44">
        <f>(MOD(E7-B7,1)*24)-1</f>
        <v>-1</v>
      </c>
      <c r="K7" s="45">
        <f t="shared" ref="K7:K37" si="1">(MOD(B7-$K$3,1)*1440)</f>
        <v>955</v>
      </c>
      <c r="L7" s="46">
        <f t="shared" ref="L7:L37" si="2">MOD($L$3-E7,1)*24</f>
        <v>17</v>
      </c>
      <c r="M7" s="47" t="e">
        <f t="shared" ref="M7:M37" si="3">((MOD(G7-$L$3,1)*24)+(IF(B7&lt;$S$3,"+0.00","-0.5")))-(IF(G7&lt;$J$3,"-0.5","0"))</f>
        <v>#VALUE!</v>
      </c>
      <c r="N7" s="48">
        <f t="shared" ref="N7:N37" si="4">COUNTIF(B7:H7,"ABSENT")</f>
        <v>0</v>
      </c>
      <c r="O7" s="49">
        <f t="shared" ref="O7:O37" si="5">($N$3/26)*N7</f>
        <v>0</v>
      </c>
      <c r="P7" s="49">
        <f t="shared" ref="P7:P37" si="6">$Q$3*U7</f>
        <v>0</v>
      </c>
      <c r="Q7" s="49">
        <f t="shared" ref="Q7:Q37" si="7">$P$3*V7</f>
        <v>0</v>
      </c>
      <c r="R7" s="50">
        <f t="shared" ref="R7:R37" si="8">($O$3*AA7)-(MOD(I7-H7,1)*24.29)*$P$3</f>
        <v>0</v>
      </c>
      <c r="S7" s="49">
        <f t="shared" ref="S7:S37" si="9">($P$3*W7)*125%</f>
        <v>0</v>
      </c>
      <c r="T7" s="51">
        <f t="shared" ref="T7:T37" si="10">S7-SUM(O7:R7)</f>
        <v>0</v>
      </c>
      <c r="U7" s="52">
        <f t="shared" ref="U7:U37" si="11">IF(AND(K7&gt;499,K7&gt;=271),0,IF(K7&lt;=270,K7,0))</f>
        <v>0</v>
      </c>
      <c r="V7" s="53">
        <f t="shared" ref="V7:V37" si="12">IF(AND(L7&gt;17,L7&gt;=17),0,IF(L7&lt;=15,L7,0))</f>
        <v>0</v>
      </c>
      <c r="W7" s="47">
        <f t="shared" ref="W7:W37" si="13">IFERROR(M7*1,0)</f>
        <v>0</v>
      </c>
      <c r="X7" s="54"/>
      <c r="Y7" s="17"/>
      <c r="Z7" s="55">
        <f t="shared" ref="Z7:Z37" si="14">COUNTBLANK(I7)</f>
        <v>1</v>
      </c>
      <c r="AA7" s="55">
        <f t="shared" ref="AA7:AA37" si="15">COUNTIF(Z7,"0")</f>
        <v>0</v>
      </c>
      <c r="AB7" s="56"/>
      <c r="AC7" s="19"/>
    </row>
    <row r="8" spans="1:29" ht="15.6" x14ac:dyDescent="0.3">
      <c r="A8" s="12">
        <v>2</v>
      </c>
      <c r="B8" s="41"/>
      <c r="C8" s="83"/>
      <c r="D8" s="41"/>
      <c r="E8" s="41"/>
      <c r="F8" s="42"/>
      <c r="G8" s="43" t="str">
        <f t="shared" si="0"/>
        <v/>
      </c>
      <c r="H8" s="41"/>
      <c r="I8" s="57"/>
      <c r="J8" s="44">
        <f t="shared" ref="J8:J37" si="16">(MOD(E8-B8,1)*24)-1</f>
        <v>-1</v>
      </c>
      <c r="K8" s="45">
        <f t="shared" si="1"/>
        <v>955</v>
      </c>
      <c r="L8" s="46">
        <f t="shared" si="2"/>
        <v>17</v>
      </c>
      <c r="M8" s="47" t="e">
        <f t="shared" si="3"/>
        <v>#VALUE!</v>
      </c>
      <c r="N8" s="48">
        <f t="shared" si="4"/>
        <v>0</v>
      </c>
      <c r="O8" s="49">
        <f t="shared" si="5"/>
        <v>0</v>
      </c>
      <c r="P8" s="49">
        <f t="shared" si="6"/>
        <v>0</v>
      </c>
      <c r="Q8" s="49">
        <f t="shared" si="7"/>
        <v>0</v>
      </c>
      <c r="R8" s="50">
        <f t="shared" si="8"/>
        <v>0</v>
      </c>
      <c r="S8" s="49">
        <f t="shared" si="9"/>
        <v>0</v>
      </c>
      <c r="T8" s="51">
        <f t="shared" si="10"/>
        <v>0</v>
      </c>
      <c r="U8" s="52">
        <f t="shared" si="11"/>
        <v>0</v>
      </c>
      <c r="V8" s="53">
        <f t="shared" si="12"/>
        <v>0</v>
      </c>
      <c r="W8" s="47">
        <f t="shared" si="13"/>
        <v>0</v>
      </c>
      <c r="X8" s="54"/>
      <c r="Y8" s="17"/>
      <c r="Z8" s="55">
        <f t="shared" si="14"/>
        <v>1</v>
      </c>
      <c r="AA8" s="55">
        <f t="shared" si="15"/>
        <v>0</v>
      </c>
      <c r="AB8" s="58"/>
      <c r="AC8" s="19"/>
    </row>
    <row r="9" spans="1:29" ht="14.4" x14ac:dyDescent="0.3">
      <c r="A9" s="12">
        <v>3</v>
      </c>
      <c r="B9" s="41"/>
      <c r="C9" s="41"/>
      <c r="D9" s="41"/>
      <c r="E9" s="41"/>
      <c r="F9" s="42"/>
      <c r="G9" s="43" t="str">
        <f t="shared" si="0"/>
        <v/>
      </c>
      <c r="H9" s="41"/>
      <c r="I9" s="41"/>
      <c r="J9" s="44">
        <f t="shared" si="16"/>
        <v>-1</v>
      </c>
      <c r="K9" s="45">
        <f t="shared" si="1"/>
        <v>955</v>
      </c>
      <c r="L9" s="46">
        <f t="shared" si="2"/>
        <v>17</v>
      </c>
      <c r="M9" s="47" t="e">
        <f t="shared" si="3"/>
        <v>#VALUE!</v>
      </c>
      <c r="N9" s="48">
        <f t="shared" si="4"/>
        <v>0</v>
      </c>
      <c r="O9" s="49">
        <f t="shared" si="5"/>
        <v>0</v>
      </c>
      <c r="P9" s="49">
        <f t="shared" si="6"/>
        <v>0</v>
      </c>
      <c r="Q9" s="49">
        <f t="shared" si="7"/>
        <v>0</v>
      </c>
      <c r="R9" s="50">
        <f t="shared" si="8"/>
        <v>0</v>
      </c>
      <c r="S9" s="49">
        <f t="shared" si="9"/>
        <v>0</v>
      </c>
      <c r="T9" s="51">
        <f t="shared" si="10"/>
        <v>0</v>
      </c>
      <c r="U9" s="52">
        <f t="shared" si="11"/>
        <v>0</v>
      </c>
      <c r="V9" s="53">
        <f t="shared" si="12"/>
        <v>0</v>
      </c>
      <c r="W9" s="47">
        <f t="shared" si="13"/>
        <v>0</v>
      </c>
      <c r="X9" s="54"/>
      <c r="Y9" s="17"/>
      <c r="Z9" s="55">
        <f t="shared" si="14"/>
        <v>1</v>
      </c>
      <c r="AA9" s="55">
        <f t="shared" si="15"/>
        <v>0</v>
      </c>
      <c r="AB9" s="58"/>
      <c r="AC9" s="19"/>
    </row>
    <row r="10" spans="1:29" ht="14.4" x14ac:dyDescent="0.3">
      <c r="A10" s="12">
        <v>4</v>
      </c>
      <c r="B10" s="41"/>
      <c r="C10" s="83"/>
      <c r="D10" s="41"/>
      <c r="E10" s="41"/>
      <c r="F10" s="42"/>
      <c r="G10" s="43" t="str">
        <f t="shared" si="0"/>
        <v/>
      </c>
      <c r="H10" s="42"/>
      <c r="I10" s="42"/>
      <c r="J10" s="44">
        <f t="shared" si="16"/>
        <v>-1</v>
      </c>
      <c r="K10" s="45">
        <f t="shared" si="1"/>
        <v>955</v>
      </c>
      <c r="L10" s="46">
        <f t="shared" si="2"/>
        <v>17</v>
      </c>
      <c r="M10" s="47" t="e">
        <f t="shared" si="3"/>
        <v>#VALUE!</v>
      </c>
      <c r="N10" s="48">
        <f t="shared" si="4"/>
        <v>0</v>
      </c>
      <c r="O10" s="49">
        <f t="shared" si="5"/>
        <v>0</v>
      </c>
      <c r="P10" s="49">
        <f t="shared" si="6"/>
        <v>0</v>
      </c>
      <c r="Q10" s="49">
        <f t="shared" si="7"/>
        <v>0</v>
      </c>
      <c r="R10" s="50">
        <f t="shared" si="8"/>
        <v>0</v>
      </c>
      <c r="S10" s="49">
        <f t="shared" si="9"/>
        <v>0</v>
      </c>
      <c r="T10" s="51">
        <f t="shared" si="10"/>
        <v>0</v>
      </c>
      <c r="U10" s="52">
        <f t="shared" si="11"/>
        <v>0</v>
      </c>
      <c r="V10" s="53">
        <f t="shared" si="12"/>
        <v>0</v>
      </c>
      <c r="W10" s="47">
        <f t="shared" si="13"/>
        <v>0</v>
      </c>
      <c r="X10" s="54"/>
      <c r="Y10" s="17"/>
      <c r="Z10" s="55">
        <f t="shared" si="14"/>
        <v>1</v>
      </c>
      <c r="AA10" s="55">
        <f t="shared" si="15"/>
        <v>0</v>
      </c>
      <c r="AB10" s="58"/>
      <c r="AC10" s="19"/>
    </row>
    <row r="11" spans="1:29" ht="14.4" x14ac:dyDescent="0.3">
      <c r="A11" s="12">
        <v>5</v>
      </c>
      <c r="B11" s="41"/>
      <c r="C11" s="41"/>
      <c r="D11" s="82"/>
      <c r="E11" s="41"/>
      <c r="F11" s="42"/>
      <c r="G11" s="43" t="str">
        <f t="shared" si="0"/>
        <v/>
      </c>
      <c r="H11" s="41"/>
      <c r="I11" s="41"/>
      <c r="J11" s="44">
        <f t="shared" si="16"/>
        <v>-1</v>
      </c>
      <c r="K11" s="45">
        <f t="shared" si="1"/>
        <v>955</v>
      </c>
      <c r="L11" s="46">
        <f t="shared" si="2"/>
        <v>17</v>
      </c>
      <c r="M11" s="47" t="e">
        <f t="shared" si="3"/>
        <v>#VALUE!</v>
      </c>
      <c r="N11" s="48">
        <f t="shared" si="4"/>
        <v>0</v>
      </c>
      <c r="O11" s="49">
        <f t="shared" si="5"/>
        <v>0</v>
      </c>
      <c r="P11" s="49">
        <f t="shared" si="6"/>
        <v>0</v>
      </c>
      <c r="Q11" s="49">
        <f t="shared" si="7"/>
        <v>0</v>
      </c>
      <c r="R11" s="50">
        <f t="shared" si="8"/>
        <v>0</v>
      </c>
      <c r="S11" s="49">
        <f t="shared" si="9"/>
        <v>0</v>
      </c>
      <c r="T11" s="51">
        <f t="shared" si="10"/>
        <v>0</v>
      </c>
      <c r="U11" s="52">
        <f t="shared" si="11"/>
        <v>0</v>
      </c>
      <c r="V11" s="53">
        <f t="shared" si="12"/>
        <v>0</v>
      </c>
      <c r="W11" s="47">
        <f t="shared" si="13"/>
        <v>0</v>
      </c>
      <c r="X11" s="54"/>
      <c r="Y11" s="17"/>
      <c r="Z11" s="55">
        <f t="shared" si="14"/>
        <v>1</v>
      </c>
      <c r="AA11" s="55">
        <f t="shared" si="15"/>
        <v>0</v>
      </c>
      <c r="AB11" s="58"/>
      <c r="AC11" s="19"/>
    </row>
    <row r="12" spans="1:29" ht="14.4" x14ac:dyDescent="0.3">
      <c r="A12" s="12">
        <v>6</v>
      </c>
      <c r="B12" s="41"/>
      <c r="C12" s="86"/>
      <c r="D12" s="82"/>
      <c r="E12" s="41"/>
      <c r="F12" s="42"/>
      <c r="G12" s="43" t="str">
        <f t="shared" si="0"/>
        <v/>
      </c>
      <c r="H12" s="41"/>
      <c r="I12" s="41"/>
      <c r="J12" s="44">
        <f t="shared" si="16"/>
        <v>-1</v>
      </c>
      <c r="K12" s="45">
        <f t="shared" si="1"/>
        <v>955</v>
      </c>
      <c r="L12" s="46">
        <f t="shared" si="2"/>
        <v>17</v>
      </c>
      <c r="M12" s="47" t="e">
        <f t="shared" si="3"/>
        <v>#VALUE!</v>
      </c>
      <c r="N12" s="48">
        <f t="shared" si="4"/>
        <v>0</v>
      </c>
      <c r="O12" s="49">
        <f t="shared" si="5"/>
        <v>0</v>
      </c>
      <c r="P12" s="49">
        <f t="shared" si="6"/>
        <v>0</v>
      </c>
      <c r="Q12" s="49">
        <f t="shared" si="7"/>
        <v>0</v>
      </c>
      <c r="R12" s="50">
        <f t="shared" si="8"/>
        <v>0</v>
      </c>
      <c r="S12" s="49">
        <f t="shared" si="9"/>
        <v>0</v>
      </c>
      <c r="T12" s="51">
        <f t="shared" si="10"/>
        <v>0</v>
      </c>
      <c r="U12" s="52">
        <f t="shared" si="11"/>
        <v>0</v>
      </c>
      <c r="V12" s="53">
        <f t="shared" si="12"/>
        <v>0</v>
      </c>
      <c r="W12" s="47">
        <f t="shared" si="13"/>
        <v>0</v>
      </c>
      <c r="X12" s="54"/>
      <c r="Y12" s="17"/>
      <c r="Z12" s="55">
        <f t="shared" si="14"/>
        <v>1</v>
      </c>
      <c r="AA12" s="55">
        <f t="shared" si="15"/>
        <v>0</v>
      </c>
      <c r="AB12" s="58"/>
      <c r="AC12" s="19"/>
    </row>
    <row r="13" spans="1:29" ht="14.4" x14ac:dyDescent="0.3">
      <c r="A13" s="12">
        <v>7</v>
      </c>
      <c r="B13" s="41"/>
      <c r="C13" s="41"/>
      <c r="D13" s="41"/>
      <c r="E13" s="41"/>
      <c r="F13" s="42"/>
      <c r="G13" s="43" t="str">
        <f t="shared" si="0"/>
        <v/>
      </c>
      <c r="H13" s="41"/>
      <c r="I13" s="41"/>
      <c r="J13" s="44">
        <f t="shared" si="16"/>
        <v>-1</v>
      </c>
      <c r="K13" s="45">
        <f t="shared" si="1"/>
        <v>955</v>
      </c>
      <c r="L13" s="46">
        <f t="shared" si="2"/>
        <v>17</v>
      </c>
      <c r="M13" s="47" t="e">
        <f t="shared" si="3"/>
        <v>#VALUE!</v>
      </c>
      <c r="N13" s="48">
        <f t="shared" si="4"/>
        <v>0</v>
      </c>
      <c r="O13" s="49">
        <f t="shared" si="5"/>
        <v>0</v>
      </c>
      <c r="P13" s="49">
        <f t="shared" si="6"/>
        <v>0</v>
      </c>
      <c r="Q13" s="49">
        <f t="shared" si="7"/>
        <v>0</v>
      </c>
      <c r="R13" s="50">
        <f t="shared" si="8"/>
        <v>0</v>
      </c>
      <c r="S13" s="49">
        <f t="shared" si="9"/>
        <v>0</v>
      </c>
      <c r="T13" s="51">
        <f t="shared" si="10"/>
        <v>0</v>
      </c>
      <c r="U13" s="52">
        <f t="shared" si="11"/>
        <v>0</v>
      </c>
      <c r="V13" s="53">
        <f t="shared" si="12"/>
        <v>0</v>
      </c>
      <c r="W13" s="47">
        <f t="shared" si="13"/>
        <v>0</v>
      </c>
      <c r="X13" s="54"/>
      <c r="Y13" s="17"/>
      <c r="Z13" s="55">
        <f t="shared" si="14"/>
        <v>1</v>
      </c>
      <c r="AA13" s="55">
        <f t="shared" si="15"/>
        <v>0</v>
      </c>
      <c r="AB13" s="58"/>
      <c r="AC13" s="19"/>
    </row>
    <row r="14" spans="1:29" ht="14.4" x14ac:dyDescent="0.3">
      <c r="A14" s="12">
        <v>8</v>
      </c>
      <c r="B14" s="41"/>
      <c r="C14" s="41"/>
      <c r="D14" s="41"/>
      <c r="E14" s="41"/>
      <c r="F14" s="42"/>
      <c r="G14" s="43" t="str">
        <f t="shared" si="0"/>
        <v/>
      </c>
      <c r="H14" s="41"/>
      <c r="I14" s="41"/>
      <c r="J14" s="44">
        <f t="shared" si="16"/>
        <v>-1</v>
      </c>
      <c r="K14" s="45">
        <f t="shared" si="1"/>
        <v>955</v>
      </c>
      <c r="L14" s="46">
        <f t="shared" si="2"/>
        <v>17</v>
      </c>
      <c r="M14" s="47" t="e">
        <f t="shared" si="3"/>
        <v>#VALUE!</v>
      </c>
      <c r="N14" s="48">
        <f t="shared" si="4"/>
        <v>0</v>
      </c>
      <c r="O14" s="49">
        <f t="shared" si="5"/>
        <v>0</v>
      </c>
      <c r="P14" s="49">
        <f t="shared" si="6"/>
        <v>0</v>
      </c>
      <c r="Q14" s="49">
        <f t="shared" si="7"/>
        <v>0</v>
      </c>
      <c r="R14" s="50">
        <f t="shared" si="8"/>
        <v>0</v>
      </c>
      <c r="S14" s="49">
        <f t="shared" si="9"/>
        <v>0</v>
      </c>
      <c r="T14" s="51">
        <f t="shared" si="10"/>
        <v>0</v>
      </c>
      <c r="U14" s="52">
        <f t="shared" si="11"/>
        <v>0</v>
      </c>
      <c r="V14" s="53">
        <f t="shared" si="12"/>
        <v>0</v>
      </c>
      <c r="W14" s="47">
        <f t="shared" si="13"/>
        <v>0</v>
      </c>
      <c r="X14" s="54"/>
      <c r="Y14" s="17"/>
      <c r="Z14" s="55">
        <f t="shared" si="14"/>
        <v>1</v>
      </c>
      <c r="AA14" s="55">
        <f t="shared" si="15"/>
        <v>0</v>
      </c>
      <c r="AB14" s="58"/>
      <c r="AC14" s="19"/>
    </row>
    <row r="15" spans="1:29" ht="14.4" x14ac:dyDescent="0.3">
      <c r="A15" s="12">
        <v>9</v>
      </c>
      <c r="B15" s="41"/>
      <c r="C15" s="41"/>
      <c r="D15" s="41"/>
      <c r="E15" s="41"/>
      <c r="F15" s="42"/>
      <c r="G15" s="43" t="str">
        <f t="shared" si="0"/>
        <v/>
      </c>
      <c r="H15" s="41"/>
      <c r="I15" s="41"/>
      <c r="J15" s="44">
        <f t="shared" si="16"/>
        <v>-1</v>
      </c>
      <c r="K15" s="45">
        <f t="shared" si="1"/>
        <v>955</v>
      </c>
      <c r="L15" s="46">
        <f t="shared" si="2"/>
        <v>17</v>
      </c>
      <c r="M15" s="47" t="e">
        <f t="shared" si="3"/>
        <v>#VALUE!</v>
      </c>
      <c r="N15" s="48">
        <f t="shared" si="4"/>
        <v>0</v>
      </c>
      <c r="O15" s="49">
        <f t="shared" si="5"/>
        <v>0</v>
      </c>
      <c r="P15" s="49">
        <f t="shared" si="6"/>
        <v>0</v>
      </c>
      <c r="Q15" s="49">
        <f t="shared" si="7"/>
        <v>0</v>
      </c>
      <c r="R15" s="50">
        <f t="shared" si="8"/>
        <v>0</v>
      </c>
      <c r="S15" s="49">
        <f t="shared" si="9"/>
        <v>0</v>
      </c>
      <c r="T15" s="51">
        <f t="shared" si="10"/>
        <v>0</v>
      </c>
      <c r="U15" s="52">
        <f t="shared" si="11"/>
        <v>0</v>
      </c>
      <c r="V15" s="53">
        <f t="shared" si="12"/>
        <v>0</v>
      </c>
      <c r="W15" s="47">
        <f t="shared" si="13"/>
        <v>0</v>
      </c>
      <c r="X15" s="54"/>
      <c r="Y15" s="17"/>
      <c r="Z15" s="55">
        <f t="shared" si="14"/>
        <v>1</v>
      </c>
      <c r="AA15" s="55">
        <f t="shared" si="15"/>
        <v>0</v>
      </c>
      <c r="AB15" s="58"/>
      <c r="AC15" s="19"/>
    </row>
    <row r="16" spans="1:29" ht="14.4" x14ac:dyDescent="0.3">
      <c r="A16" s="12">
        <v>10</v>
      </c>
      <c r="B16" s="41"/>
      <c r="C16" s="41"/>
      <c r="D16" s="41"/>
      <c r="E16" s="41"/>
      <c r="F16" s="42"/>
      <c r="G16" s="43" t="str">
        <f t="shared" si="0"/>
        <v/>
      </c>
      <c r="H16" s="41"/>
      <c r="I16" s="41"/>
      <c r="J16" s="44">
        <f t="shared" si="16"/>
        <v>-1</v>
      </c>
      <c r="K16" s="45">
        <f t="shared" si="1"/>
        <v>955</v>
      </c>
      <c r="L16" s="46">
        <f t="shared" si="2"/>
        <v>17</v>
      </c>
      <c r="M16" s="47" t="e">
        <f t="shared" si="3"/>
        <v>#VALUE!</v>
      </c>
      <c r="N16" s="48">
        <f t="shared" si="4"/>
        <v>0</v>
      </c>
      <c r="O16" s="49">
        <f t="shared" si="5"/>
        <v>0</v>
      </c>
      <c r="P16" s="49">
        <f t="shared" si="6"/>
        <v>0</v>
      </c>
      <c r="Q16" s="49">
        <f t="shared" si="7"/>
        <v>0</v>
      </c>
      <c r="R16" s="50">
        <f t="shared" si="8"/>
        <v>0</v>
      </c>
      <c r="S16" s="49">
        <f t="shared" si="9"/>
        <v>0</v>
      </c>
      <c r="T16" s="51">
        <f t="shared" si="10"/>
        <v>0</v>
      </c>
      <c r="U16" s="52">
        <f t="shared" si="11"/>
        <v>0</v>
      </c>
      <c r="V16" s="53">
        <f t="shared" si="12"/>
        <v>0</v>
      </c>
      <c r="W16" s="47"/>
      <c r="X16" s="54"/>
      <c r="Y16" s="17"/>
      <c r="Z16" s="55">
        <f t="shared" si="14"/>
        <v>1</v>
      </c>
      <c r="AA16" s="55">
        <f t="shared" si="15"/>
        <v>0</v>
      </c>
      <c r="AB16" s="58"/>
      <c r="AC16" s="19"/>
    </row>
    <row r="17" spans="1:29" ht="14.4" x14ac:dyDescent="0.3">
      <c r="A17" s="12">
        <v>11</v>
      </c>
      <c r="B17" s="41"/>
      <c r="C17" s="41"/>
      <c r="D17" s="41"/>
      <c r="E17" s="41"/>
      <c r="F17" s="42"/>
      <c r="G17" s="43" t="str">
        <f t="shared" si="0"/>
        <v/>
      </c>
      <c r="H17" s="41"/>
      <c r="I17" s="41"/>
      <c r="J17" s="44">
        <f t="shared" si="16"/>
        <v>-1</v>
      </c>
      <c r="K17" s="45">
        <f t="shared" si="1"/>
        <v>955</v>
      </c>
      <c r="L17" s="46">
        <f t="shared" si="2"/>
        <v>17</v>
      </c>
      <c r="M17" s="47" t="e">
        <f t="shared" si="3"/>
        <v>#VALUE!</v>
      </c>
      <c r="N17" s="48">
        <f t="shared" si="4"/>
        <v>0</v>
      </c>
      <c r="O17" s="49">
        <f t="shared" si="5"/>
        <v>0</v>
      </c>
      <c r="P17" s="49">
        <f t="shared" si="6"/>
        <v>0</v>
      </c>
      <c r="Q17" s="49">
        <f t="shared" si="7"/>
        <v>0</v>
      </c>
      <c r="R17" s="50">
        <f t="shared" si="8"/>
        <v>0</v>
      </c>
      <c r="S17" s="49">
        <f t="shared" si="9"/>
        <v>0</v>
      </c>
      <c r="T17" s="51">
        <f t="shared" si="10"/>
        <v>0</v>
      </c>
      <c r="U17" s="52">
        <f t="shared" si="11"/>
        <v>0</v>
      </c>
      <c r="V17" s="53">
        <f t="shared" si="12"/>
        <v>0</v>
      </c>
      <c r="W17" s="47">
        <f t="shared" si="13"/>
        <v>0</v>
      </c>
      <c r="X17" s="54"/>
      <c r="Y17" s="17"/>
      <c r="Z17" s="55">
        <f t="shared" si="14"/>
        <v>1</v>
      </c>
      <c r="AA17" s="55">
        <f t="shared" si="15"/>
        <v>0</v>
      </c>
      <c r="AB17" s="58"/>
      <c r="AC17" s="19"/>
    </row>
    <row r="18" spans="1:29" ht="14.4" x14ac:dyDescent="0.3">
      <c r="A18" s="12">
        <v>12</v>
      </c>
      <c r="B18" s="41"/>
      <c r="C18" s="41"/>
      <c r="D18" s="41"/>
      <c r="E18" s="41"/>
      <c r="F18" s="42"/>
      <c r="G18" s="43" t="str">
        <f t="shared" si="0"/>
        <v/>
      </c>
      <c r="H18" s="41"/>
      <c r="I18" s="41"/>
      <c r="J18" s="44">
        <f t="shared" si="16"/>
        <v>-1</v>
      </c>
      <c r="K18" s="45">
        <f t="shared" si="1"/>
        <v>955</v>
      </c>
      <c r="L18" s="46">
        <f t="shared" si="2"/>
        <v>17</v>
      </c>
      <c r="M18" s="47" t="e">
        <f t="shared" si="3"/>
        <v>#VALUE!</v>
      </c>
      <c r="N18" s="48">
        <f t="shared" si="4"/>
        <v>0</v>
      </c>
      <c r="O18" s="49">
        <f t="shared" si="5"/>
        <v>0</v>
      </c>
      <c r="P18" s="49">
        <f t="shared" si="6"/>
        <v>0</v>
      </c>
      <c r="Q18" s="49">
        <f t="shared" si="7"/>
        <v>0</v>
      </c>
      <c r="R18" s="50">
        <f t="shared" si="8"/>
        <v>0</v>
      </c>
      <c r="S18" s="49">
        <f t="shared" si="9"/>
        <v>0</v>
      </c>
      <c r="T18" s="51">
        <f t="shared" si="10"/>
        <v>0</v>
      </c>
      <c r="U18" s="52">
        <f t="shared" si="11"/>
        <v>0</v>
      </c>
      <c r="V18" s="53">
        <f t="shared" si="12"/>
        <v>0</v>
      </c>
      <c r="W18" s="47">
        <f t="shared" si="13"/>
        <v>0</v>
      </c>
      <c r="X18" s="54"/>
      <c r="Y18" s="17"/>
      <c r="Z18" s="55">
        <f t="shared" si="14"/>
        <v>1</v>
      </c>
      <c r="AA18" s="55">
        <f t="shared" si="15"/>
        <v>0</v>
      </c>
      <c r="AB18" s="58"/>
      <c r="AC18" s="19"/>
    </row>
    <row r="19" spans="1:29" ht="14.4" x14ac:dyDescent="0.3">
      <c r="A19" s="12">
        <v>13</v>
      </c>
      <c r="B19" s="41"/>
      <c r="C19" s="41"/>
      <c r="D19" s="41"/>
      <c r="E19" s="41"/>
      <c r="F19" s="42"/>
      <c r="G19" s="43" t="str">
        <f t="shared" si="0"/>
        <v/>
      </c>
      <c r="H19" s="41"/>
      <c r="I19" s="41"/>
      <c r="J19" s="44">
        <f t="shared" si="16"/>
        <v>-1</v>
      </c>
      <c r="K19" s="45">
        <f t="shared" si="1"/>
        <v>955</v>
      </c>
      <c r="L19" s="46">
        <f t="shared" si="2"/>
        <v>17</v>
      </c>
      <c r="M19" s="47" t="e">
        <f t="shared" si="3"/>
        <v>#VALUE!</v>
      </c>
      <c r="N19" s="48">
        <f t="shared" si="4"/>
        <v>0</v>
      </c>
      <c r="O19" s="49">
        <f t="shared" si="5"/>
        <v>0</v>
      </c>
      <c r="P19" s="49">
        <f t="shared" si="6"/>
        <v>0</v>
      </c>
      <c r="Q19" s="49">
        <f t="shared" si="7"/>
        <v>0</v>
      </c>
      <c r="R19" s="50">
        <f t="shared" si="8"/>
        <v>0</v>
      </c>
      <c r="S19" s="49">
        <f t="shared" si="9"/>
        <v>0</v>
      </c>
      <c r="T19" s="51">
        <f t="shared" si="10"/>
        <v>0</v>
      </c>
      <c r="U19" s="52">
        <f t="shared" si="11"/>
        <v>0</v>
      </c>
      <c r="V19" s="53">
        <f t="shared" si="12"/>
        <v>0</v>
      </c>
      <c r="W19" s="47">
        <f t="shared" si="13"/>
        <v>0</v>
      </c>
      <c r="X19" s="54"/>
      <c r="Y19" s="17"/>
      <c r="Z19" s="55">
        <f t="shared" si="14"/>
        <v>1</v>
      </c>
      <c r="AA19" s="55">
        <f t="shared" si="15"/>
        <v>0</v>
      </c>
      <c r="AB19" s="58"/>
      <c r="AC19" s="19"/>
    </row>
    <row r="20" spans="1:29" ht="14.4" x14ac:dyDescent="0.3">
      <c r="A20" s="12">
        <v>14</v>
      </c>
      <c r="B20" s="41"/>
      <c r="C20" s="41"/>
      <c r="D20" s="41"/>
      <c r="E20" s="41"/>
      <c r="F20" s="42"/>
      <c r="G20" s="43" t="str">
        <f t="shared" si="0"/>
        <v/>
      </c>
      <c r="H20" s="41"/>
      <c r="I20" s="41"/>
      <c r="J20" s="44">
        <f t="shared" si="16"/>
        <v>-1</v>
      </c>
      <c r="K20" s="45">
        <f t="shared" si="1"/>
        <v>955</v>
      </c>
      <c r="L20" s="46">
        <f t="shared" si="2"/>
        <v>17</v>
      </c>
      <c r="M20" s="47" t="e">
        <f t="shared" si="3"/>
        <v>#VALUE!</v>
      </c>
      <c r="N20" s="48">
        <f t="shared" si="4"/>
        <v>0</v>
      </c>
      <c r="O20" s="49">
        <f t="shared" si="5"/>
        <v>0</v>
      </c>
      <c r="P20" s="49">
        <f t="shared" si="6"/>
        <v>0</v>
      </c>
      <c r="Q20" s="49">
        <f t="shared" si="7"/>
        <v>0</v>
      </c>
      <c r="R20" s="50">
        <f t="shared" si="8"/>
        <v>0</v>
      </c>
      <c r="S20" s="49">
        <f t="shared" si="9"/>
        <v>0</v>
      </c>
      <c r="T20" s="51">
        <f t="shared" si="10"/>
        <v>0</v>
      </c>
      <c r="U20" s="52">
        <f t="shared" si="11"/>
        <v>0</v>
      </c>
      <c r="V20" s="53">
        <f t="shared" si="12"/>
        <v>0</v>
      </c>
      <c r="W20" s="47">
        <f t="shared" si="13"/>
        <v>0</v>
      </c>
      <c r="X20" s="54"/>
      <c r="Y20" s="17"/>
      <c r="Z20" s="55">
        <f t="shared" si="14"/>
        <v>1</v>
      </c>
      <c r="AA20" s="55">
        <f t="shared" si="15"/>
        <v>0</v>
      </c>
      <c r="AB20" s="58"/>
      <c r="AC20" s="19"/>
    </row>
    <row r="21" spans="1:29" ht="15.75" customHeight="1" x14ac:dyDescent="0.3">
      <c r="A21" s="12">
        <v>15</v>
      </c>
      <c r="B21" s="41"/>
      <c r="C21" s="85"/>
      <c r="D21" s="41"/>
      <c r="E21" s="41"/>
      <c r="F21" s="42"/>
      <c r="G21" s="43"/>
      <c r="H21" s="41"/>
      <c r="I21" s="41"/>
      <c r="J21" s="44">
        <f t="shared" si="16"/>
        <v>-1</v>
      </c>
      <c r="K21" s="45">
        <f t="shared" si="1"/>
        <v>955</v>
      </c>
      <c r="L21" s="46">
        <f t="shared" si="2"/>
        <v>17</v>
      </c>
      <c r="M21" s="47">
        <f t="shared" si="3"/>
        <v>7.4999999999999991</v>
      </c>
      <c r="N21" s="48">
        <f t="shared" si="4"/>
        <v>0</v>
      </c>
      <c r="O21" s="49">
        <f t="shared" si="5"/>
        <v>0</v>
      </c>
      <c r="P21" s="49">
        <f t="shared" si="6"/>
        <v>0</v>
      </c>
      <c r="Q21" s="49">
        <f t="shared" si="7"/>
        <v>0</v>
      </c>
      <c r="R21" s="50">
        <f t="shared" si="8"/>
        <v>0</v>
      </c>
      <c r="S21" s="49">
        <f t="shared" si="9"/>
        <v>0</v>
      </c>
      <c r="T21" s="51">
        <f t="shared" si="10"/>
        <v>0</v>
      </c>
      <c r="U21" s="52">
        <f t="shared" si="11"/>
        <v>0</v>
      </c>
      <c r="V21" s="53">
        <f t="shared" si="12"/>
        <v>0</v>
      </c>
      <c r="W21" s="47"/>
      <c r="X21" s="54"/>
      <c r="Y21" s="17"/>
      <c r="Z21" s="55">
        <f t="shared" si="14"/>
        <v>1</v>
      </c>
      <c r="AA21" s="55">
        <f t="shared" si="15"/>
        <v>0</v>
      </c>
      <c r="AB21" s="58"/>
      <c r="AC21" s="19"/>
    </row>
    <row r="22" spans="1:29" ht="15.75" customHeight="1" x14ac:dyDescent="0.3">
      <c r="A22" s="12">
        <v>16</v>
      </c>
      <c r="B22" s="41"/>
      <c r="C22" s="41"/>
      <c r="D22" s="41"/>
      <c r="E22" s="41"/>
      <c r="F22" s="42"/>
      <c r="G22" s="43"/>
      <c r="H22" s="41"/>
      <c r="I22" s="41"/>
      <c r="J22" s="44">
        <f t="shared" si="16"/>
        <v>-1</v>
      </c>
      <c r="K22" s="45">
        <f t="shared" si="1"/>
        <v>955</v>
      </c>
      <c r="L22" s="46">
        <f t="shared" si="2"/>
        <v>17</v>
      </c>
      <c r="M22" s="47">
        <f t="shared" si="3"/>
        <v>7.4999999999999991</v>
      </c>
      <c r="N22" s="48">
        <f t="shared" si="4"/>
        <v>0</v>
      </c>
      <c r="O22" s="49">
        <f t="shared" si="5"/>
        <v>0</v>
      </c>
      <c r="P22" s="49">
        <f t="shared" si="6"/>
        <v>0</v>
      </c>
      <c r="Q22" s="49">
        <f t="shared" si="7"/>
        <v>0</v>
      </c>
      <c r="R22" s="50">
        <f t="shared" si="8"/>
        <v>0</v>
      </c>
      <c r="S22" s="49">
        <f t="shared" si="9"/>
        <v>0</v>
      </c>
      <c r="T22" s="51">
        <f t="shared" si="10"/>
        <v>0</v>
      </c>
      <c r="U22" s="52">
        <f t="shared" si="11"/>
        <v>0</v>
      </c>
      <c r="V22" s="53">
        <f t="shared" si="12"/>
        <v>0</v>
      </c>
      <c r="W22" s="47"/>
      <c r="X22" s="54"/>
      <c r="Y22" s="17"/>
      <c r="Z22" s="55">
        <f t="shared" si="14"/>
        <v>1</v>
      </c>
      <c r="AA22" s="55">
        <f t="shared" si="15"/>
        <v>0</v>
      </c>
      <c r="AB22" s="58"/>
      <c r="AC22" s="19"/>
    </row>
    <row r="23" spans="1:29" ht="15.75" customHeight="1" x14ac:dyDescent="0.3">
      <c r="A23" s="12">
        <v>17</v>
      </c>
      <c r="B23" s="41"/>
      <c r="C23" s="41"/>
      <c r="D23" s="41"/>
      <c r="E23" s="41"/>
      <c r="F23" s="42"/>
      <c r="G23" s="43" t="str">
        <f t="shared" si="0"/>
        <v/>
      </c>
      <c r="H23" s="41"/>
      <c r="I23" s="41"/>
      <c r="J23" s="44">
        <f t="shared" si="16"/>
        <v>-1</v>
      </c>
      <c r="K23" s="45">
        <f t="shared" si="1"/>
        <v>955</v>
      </c>
      <c r="L23" s="46">
        <f t="shared" si="2"/>
        <v>17</v>
      </c>
      <c r="M23" s="47" t="e">
        <f t="shared" si="3"/>
        <v>#VALUE!</v>
      </c>
      <c r="N23" s="48">
        <f t="shared" si="4"/>
        <v>0</v>
      </c>
      <c r="O23" s="49">
        <f t="shared" si="5"/>
        <v>0</v>
      </c>
      <c r="P23" s="49">
        <f t="shared" si="6"/>
        <v>0</v>
      </c>
      <c r="Q23" s="49">
        <f t="shared" si="7"/>
        <v>0</v>
      </c>
      <c r="R23" s="50">
        <f t="shared" si="8"/>
        <v>0</v>
      </c>
      <c r="S23" s="49">
        <f t="shared" si="9"/>
        <v>0</v>
      </c>
      <c r="T23" s="51">
        <f t="shared" si="10"/>
        <v>0</v>
      </c>
      <c r="U23" s="52">
        <f t="shared" si="11"/>
        <v>0</v>
      </c>
      <c r="V23" s="53">
        <f t="shared" si="12"/>
        <v>0</v>
      </c>
      <c r="W23" s="47">
        <f t="shared" si="13"/>
        <v>0</v>
      </c>
      <c r="X23" s="54"/>
      <c r="Y23" s="17"/>
      <c r="Z23" s="55">
        <f t="shared" si="14"/>
        <v>1</v>
      </c>
      <c r="AA23" s="55">
        <f t="shared" si="15"/>
        <v>0</v>
      </c>
      <c r="AB23" s="58"/>
      <c r="AC23" s="19"/>
    </row>
    <row r="24" spans="1:29" ht="15.75" customHeight="1" x14ac:dyDescent="0.3">
      <c r="A24" s="12">
        <v>18</v>
      </c>
      <c r="B24" s="41"/>
      <c r="C24" s="41"/>
      <c r="D24" s="41"/>
      <c r="E24" s="41"/>
      <c r="F24" s="42"/>
      <c r="G24" s="43" t="str">
        <f t="shared" si="0"/>
        <v/>
      </c>
      <c r="H24" s="41"/>
      <c r="I24" s="41"/>
      <c r="J24" s="44">
        <f t="shared" si="16"/>
        <v>-1</v>
      </c>
      <c r="K24" s="45">
        <f t="shared" si="1"/>
        <v>955</v>
      </c>
      <c r="L24" s="46">
        <f t="shared" si="2"/>
        <v>17</v>
      </c>
      <c r="M24" s="47" t="e">
        <f t="shared" si="3"/>
        <v>#VALUE!</v>
      </c>
      <c r="N24" s="48">
        <f t="shared" si="4"/>
        <v>0</v>
      </c>
      <c r="O24" s="49">
        <f t="shared" si="5"/>
        <v>0</v>
      </c>
      <c r="P24" s="49">
        <f t="shared" si="6"/>
        <v>0</v>
      </c>
      <c r="Q24" s="49">
        <f t="shared" si="7"/>
        <v>0</v>
      </c>
      <c r="R24" s="50">
        <f t="shared" si="8"/>
        <v>0</v>
      </c>
      <c r="S24" s="49">
        <f t="shared" si="9"/>
        <v>0</v>
      </c>
      <c r="T24" s="51">
        <f t="shared" si="10"/>
        <v>0</v>
      </c>
      <c r="U24" s="52">
        <f t="shared" si="11"/>
        <v>0</v>
      </c>
      <c r="V24" s="53">
        <f t="shared" si="12"/>
        <v>0</v>
      </c>
      <c r="W24" s="47">
        <f t="shared" si="13"/>
        <v>0</v>
      </c>
      <c r="X24" s="54"/>
      <c r="Y24" s="17"/>
      <c r="Z24" s="55">
        <f t="shared" si="14"/>
        <v>1</v>
      </c>
      <c r="AA24" s="55">
        <f t="shared" si="15"/>
        <v>0</v>
      </c>
      <c r="AB24" s="58"/>
      <c r="AC24" s="19"/>
    </row>
    <row r="25" spans="1:29" ht="15.75" customHeight="1" x14ac:dyDescent="0.3">
      <c r="A25" s="12">
        <v>19</v>
      </c>
      <c r="B25" s="41"/>
      <c r="C25" s="84"/>
      <c r="D25" s="41"/>
      <c r="E25" s="41"/>
      <c r="F25" s="42"/>
      <c r="G25" s="43" t="str">
        <f t="shared" si="0"/>
        <v/>
      </c>
      <c r="H25" s="41"/>
      <c r="I25" s="41"/>
      <c r="J25" s="44">
        <f t="shared" si="16"/>
        <v>-1</v>
      </c>
      <c r="K25" s="45">
        <f t="shared" si="1"/>
        <v>955</v>
      </c>
      <c r="L25" s="46">
        <f t="shared" si="2"/>
        <v>17</v>
      </c>
      <c r="M25" s="47" t="e">
        <f t="shared" si="3"/>
        <v>#VALUE!</v>
      </c>
      <c r="N25" s="48">
        <f t="shared" si="4"/>
        <v>0</v>
      </c>
      <c r="O25" s="49">
        <f t="shared" si="5"/>
        <v>0</v>
      </c>
      <c r="P25" s="49">
        <f t="shared" si="6"/>
        <v>0</v>
      </c>
      <c r="Q25" s="49">
        <f t="shared" si="7"/>
        <v>0</v>
      </c>
      <c r="R25" s="50">
        <f t="shared" si="8"/>
        <v>0</v>
      </c>
      <c r="S25" s="49">
        <f t="shared" si="9"/>
        <v>0</v>
      </c>
      <c r="T25" s="51">
        <f t="shared" si="10"/>
        <v>0</v>
      </c>
      <c r="U25" s="52">
        <f t="shared" si="11"/>
        <v>0</v>
      </c>
      <c r="V25" s="53">
        <f t="shared" si="12"/>
        <v>0</v>
      </c>
      <c r="W25" s="47">
        <f t="shared" si="13"/>
        <v>0</v>
      </c>
      <c r="X25" s="54">
        <v>317.5</v>
      </c>
      <c r="Y25" s="17"/>
      <c r="Z25" s="55">
        <f t="shared" si="14"/>
        <v>1</v>
      </c>
      <c r="AA25" s="55">
        <f t="shared" si="15"/>
        <v>0</v>
      </c>
      <c r="AB25" s="77" t="s">
        <v>83</v>
      </c>
      <c r="AC25" s="19"/>
    </row>
    <row r="26" spans="1:29" ht="15.75" customHeight="1" x14ac:dyDescent="0.3">
      <c r="A26" s="12">
        <v>20</v>
      </c>
      <c r="B26" s="41"/>
      <c r="C26" s="41"/>
      <c r="D26" s="41"/>
      <c r="E26" s="41"/>
      <c r="F26" s="42"/>
      <c r="G26" s="43" t="str">
        <f t="shared" si="0"/>
        <v/>
      </c>
      <c r="H26" s="41"/>
      <c r="I26" s="41"/>
      <c r="J26" s="44">
        <f t="shared" si="16"/>
        <v>-1</v>
      </c>
      <c r="K26" s="45">
        <f t="shared" si="1"/>
        <v>955</v>
      </c>
      <c r="L26" s="46">
        <f t="shared" si="2"/>
        <v>17</v>
      </c>
      <c r="M26" s="47" t="e">
        <f t="shared" si="3"/>
        <v>#VALUE!</v>
      </c>
      <c r="N26" s="48">
        <f t="shared" si="4"/>
        <v>0</v>
      </c>
      <c r="O26" s="49">
        <f t="shared" si="5"/>
        <v>0</v>
      </c>
      <c r="P26" s="49">
        <f t="shared" si="6"/>
        <v>0</v>
      </c>
      <c r="Q26" s="49">
        <f t="shared" si="7"/>
        <v>0</v>
      </c>
      <c r="R26" s="50">
        <f t="shared" si="8"/>
        <v>0</v>
      </c>
      <c r="S26" s="49">
        <f t="shared" si="9"/>
        <v>0</v>
      </c>
      <c r="T26" s="51">
        <f t="shared" si="10"/>
        <v>0</v>
      </c>
      <c r="U26" s="52">
        <f t="shared" si="11"/>
        <v>0</v>
      </c>
      <c r="V26" s="53">
        <f t="shared" si="12"/>
        <v>0</v>
      </c>
      <c r="W26" s="47">
        <f t="shared" si="13"/>
        <v>0</v>
      </c>
      <c r="X26" s="54">
        <v>125</v>
      </c>
      <c r="Y26" s="17"/>
      <c r="Z26" s="55">
        <f t="shared" si="14"/>
        <v>1</v>
      </c>
      <c r="AA26" s="55">
        <f t="shared" si="15"/>
        <v>0</v>
      </c>
      <c r="AB26" s="77" t="s">
        <v>85</v>
      </c>
      <c r="AC26" s="19"/>
    </row>
    <row r="27" spans="1:29" ht="15.75" customHeight="1" x14ac:dyDescent="0.3">
      <c r="A27" s="12">
        <v>21</v>
      </c>
      <c r="B27" s="41"/>
      <c r="C27" s="84"/>
      <c r="D27" s="41"/>
      <c r="E27" s="41"/>
      <c r="F27" s="41"/>
      <c r="G27" s="43" t="str">
        <f t="shared" si="0"/>
        <v/>
      </c>
      <c r="H27" s="41"/>
      <c r="I27" s="41"/>
      <c r="J27" s="44">
        <f t="shared" si="16"/>
        <v>-1</v>
      </c>
      <c r="K27" s="45">
        <f t="shared" si="1"/>
        <v>955</v>
      </c>
      <c r="L27" s="46">
        <f t="shared" si="2"/>
        <v>17</v>
      </c>
      <c r="M27" s="47" t="e">
        <f t="shared" si="3"/>
        <v>#VALUE!</v>
      </c>
      <c r="N27" s="48">
        <f t="shared" si="4"/>
        <v>0</v>
      </c>
      <c r="O27" s="49">
        <f t="shared" si="5"/>
        <v>0</v>
      </c>
      <c r="P27" s="49">
        <f t="shared" si="6"/>
        <v>0</v>
      </c>
      <c r="Q27" s="49">
        <f t="shared" si="7"/>
        <v>0</v>
      </c>
      <c r="R27" s="50">
        <f t="shared" si="8"/>
        <v>0</v>
      </c>
      <c r="S27" s="49">
        <f t="shared" si="9"/>
        <v>0</v>
      </c>
      <c r="T27" s="51">
        <f t="shared" si="10"/>
        <v>0</v>
      </c>
      <c r="U27" s="52">
        <f t="shared" si="11"/>
        <v>0</v>
      </c>
      <c r="V27" s="53">
        <f t="shared" si="12"/>
        <v>0</v>
      </c>
      <c r="W27" s="47">
        <f t="shared" si="13"/>
        <v>0</v>
      </c>
      <c r="X27" s="54">
        <v>100</v>
      </c>
      <c r="Y27" s="17"/>
      <c r="Z27" s="55">
        <f t="shared" si="14"/>
        <v>1</v>
      </c>
      <c r="AA27" s="55">
        <f t="shared" si="15"/>
        <v>0</v>
      </c>
      <c r="AB27" s="77" t="s">
        <v>84</v>
      </c>
      <c r="AC27" s="19"/>
    </row>
    <row r="28" spans="1:29" ht="15.75" customHeight="1" x14ac:dyDescent="0.3">
      <c r="A28" s="12">
        <v>22</v>
      </c>
      <c r="B28" s="41"/>
      <c r="C28" s="41"/>
      <c r="D28" s="41"/>
      <c r="E28" s="41"/>
      <c r="F28" s="42"/>
      <c r="G28" s="43" t="str">
        <f t="shared" ref="G28" si="17">IF(E28&gt;$J$4,E28,"")</f>
        <v/>
      </c>
      <c r="H28" s="41"/>
      <c r="I28" s="41"/>
      <c r="J28" s="44">
        <f t="shared" ref="J28" si="18">(MOD(E28-B28,1)*24)-1</f>
        <v>-1</v>
      </c>
      <c r="K28" s="45">
        <f t="shared" ref="K28" si="19">(MOD(B28-$K$3,1)*1440)</f>
        <v>955</v>
      </c>
      <c r="L28" s="46">
        <f t="shared" ref="L28" si="20">MOD($L$3-E28,1)*24</f>
        <v>17</v>
      </c>
      <c r="M28" s="47" t="e">
        <f t="shared" ref="M28" si="21">((MOD(G28-$L$3,1)*24)+(IF(B28&lt;$S$3,"+0.00","-0.5")))-(IF(G28&lt;$J$3,"-0.5","0"))</f>
        <v>#VALUE!</v>
      </c>
      <c r="N28" s="48">
        <f t="shared" ref="N28" si="22">COUNTIF(B28:H28,"ABSENT")</f>
        <v>0</v>
      </c>
      <c r="O28" s="49">
        <f t="shared" ref="O28" si="23">($N$3/26)*N28</f>
        <v>0</v>
      </c>
      <c r="P28" s="49">
        <f t="shared" ref="P28" si="24">$Q$3*U28</f>
        <v>0</v>
      </c>
      <c r="Q28" s="49">
        <f t="shared" ref="Q28" si="25">$P$3*V28</f>
        <v>0</v>
      </c>
      <c r="R28" s="50">
        <f t="shared" ref="R28" si="26">($O$3*AA28)-(MOD(I28-H28,1)*24.29)*$P$3</f>
        <v>0</v>
      </c>
      <c r="S28" s="49">
        <f t="shared" ref="S28" si="27">($P$3*W28)*125%</f>
        <v>0</v>
      </c>
      <c r="T28" s="51">
        <f t="shared" ref="T28" si="28">S28-SUM(O28:R28)</f>
        <v>0</v>
      </c>
      <c r="U28" s="52">
        <f t="shared" ref="U28" si="29">IF(AND(K28&gt;499,K28&gt;=271),0,IF(K28&lt;=270,K28,0))</f>
        <v>0</v>
      </c>
      <c r="V28" s="53">
        <f t="shared" ref="V28" si="30">IF(AND(L28&gt;17,L28&gt;=17),0,IF(L28&lt;=15,L28,0))</f>
        <v>0</v>
      </c>
      <c r="W28" s="47">
        <f t="shared" ref="W28" si="31">IFERROR(M28*1,0)</f>
        <v>0</v>
      </c>
      <c r="X28" s="54">
        <v>3000</v>
      </c>
      <c r="Y28" s="17"/>
      <c r="Z28" s="55">
        <f t="shared" ref="Z28" si="32">COUNTBLANK(I28)</f>
        <v>1</v>
      </c>
      <c r="AA28" s="55">
        <f t="shared" ref="AA28" si="33">COUNTIF(Z28,"0")</f>
        <v>0</v>
      </c>
      <c r="AB28" s="88" t="s">
        <v>91</v>
      </c>
      <c r="AC28" s="19"/>
    </row>
    <row r="29" spans="1:29" ht="15.75" customHeight="1" x14ac:dyDescent="0.3">
      <c r="A29" s="12">
        <v>23</v>
      </c>
      <c r="B29" s="41"/>
      <c r="C29" s="87"/>
      <c r="D29" s="41"/>
      <c r="E29" s="41"/>
      <c r="F29" s="42"/>
      <c r="G29" s="43" t="str">
        <f t="shared" si="0"/>
        <v/>
      </c>
      <c r="H29" s="41"/>
      <c r="I29" s="41"/>
      <c r="J29" s="44">
        <f t="shared" si="16"/>
        <v>-1</v>
      </c>
      <c r="K29" s="45">
        <f t="shared" si="1"/>
        <v>955</v>
      </c>
      <c r="L29" s="46">
        <f t="shared" si="2"/>
        <v>17</v>
      </c>
      <c r="M29" s="47" t="e">
        <f t="shared" si="3"/>
        <v>#VALUE!</v>
      </c>
      <c r="N29" s="48">
        <f t="shared" si="4"/>
        <v>0</v>
      </c>
      <c r="O29" s="49">
        <f t="shared" si="5"/>
        <v>0</v>
      </c>
      <c r="P29" s="49">
        <f t="shared" si="6"/>
        <v>0</v>
      </c>
      <c r="Q29" s="49">
        <f t="shared" si="7"/>
        <v>0</v>
      </c>
      <c r="R29" s="50">
        <f t="shared" si="8"/>
        <v>0</v>
      </c>
      <c r="S29" s="49">
        <f t="shared" si="9"/>
        <v>0</v>
      </c>
      <c r="T29" s="51">
        <f t="shared" si="10"/>
        <v>0</v>
      </c>
      <c r="U29" s="52">
        <f t="shared" si="11"/>
        <v>0</v>
      </c>
      <c r="V29" s="53">
        <f t="shared" si="12"/>
        <v>0</v>
      </c>
      <c r="W29" s="47">
        <f t="shared" si="13"/>
        <v>0</v>
      </c>
      <c r="X29" s="54"/>
      <c r="Y29" s="17"/>
      <c r="Z29" s="55">
        <f t="shared" si="14"/>
        <v>1</v>
      </c>
      <c r="AA29" s="55">
        <f t="shared" si="15"/>
        <v>0</v>
      </c>
      <c r="AB29" s="58"/>
      <c r="AC29" s="19"/>
    </row>
    <row r="30" spans="1:29" ht="15.75" customHeight="1" x14ac:dyDescent="0.3">
      <c r="A30" s="12">
        <v>24</v>
      </c>
      <c r="B30" s="41"/>
      <c r="C30" s="87"/>
      <c r="D30" s="41"/>
      <c r="E30" s="41"/>
      <c r="F30" s="42"/>
      <c r="G30" s="43" t="str">
        <f t="shared" si="0"/>
        <v/>
      </c>
      <c r="H30" s="41"/>
      <c r="I30" s="41"/>
      <c r="J30" s="44">
        <f t="shared" si="16"/>
        <v>-1</v>
      </c>
      <c r="K30" s="45">
        <f t="shared" si="1"/>
        <v>955</v>
      </c>
      <c r="L30" s="46">
        <f t="shared" si="2"/>
        <v>17</v>
      </c>
      <c r="M30" s="47" t="e">
        <f t="shared" si="3"/>
        <v>#VALUE!</v>
      </c>
      <c r="N30" s="48">
        <f t="shared" si="4"/>
        <v>0</v>
      </c>
      <c r="O30" s="49">
        <f t="shared" si="5"/>
        <v>0</v>
      </c>
      <c r="P30" s="49">
        <f t="shared" si="6"/>
        <v>0</v>
      </c>
      <c r="Q30" s="49">
        <f t="shared" si="7"/>
        <v>0</v>
      </c>
      <c r="R30" s="50">
        <f t="shared" si="8"/>
        <v>0</v>
      </c>
      <c r="S30" s="49">
        <f t="shared" si="9"/>
        <v>0</v>
      </c>
      <c r="T30" s="51">
        <f t="shared" si="10"/>
        <v>0</v>
      </c>
      <c r="U30" s="52">
        <f t="shared" si="11"/>
        <v>0</v>
      </c>
      <c r="V30" s="53">
        <f t="shared" si="12"/>
        <v>0</v>
      </c>
      <c r="W30" s="47">
        <f t="shared" si="13"/>
        <v>0</v>
      </c>
      <c r="X30" s="54"/>
      <c r="Y30" s="17"/>
      <c r="Z30" s="55">
        <f t="shared" si="14"/>
        <v>1</v>
      </c>
      <c r="AA30" s="55">
        <f t="shared" si="15"/>
        <v>0</v>
      </c>
      <c r="AB30" s="58"/>
      <c r="AC30" s="19"/>
    </row>
    <row r="31" spans="1:29" ht="15.75" customHeight="1" x14ac:dyDescent="0.3">
      <c r="A31" s="12">
        <v>25</v>
      </c>
      <c r="B31" s="41"/>
      <c r="C31" s="84"/>
      <c r="D31" s="41"/>
      <c r="E31" s="41"/>
      <c r="F31" s="42"/>
      <c r="G31" s="43" t="str">
        <f t="shared" ref="G31" si="34">IF(E31&gt;$J$4,E31,"")</f>
        <v/>
      </c>
      <c r="H31" s="41"/>
      <c r="I31" s="41"/>
      <c r="J31" s="44">
        <f t="shared" ref="J31" si="35">(MOD(E31-B31,1)*24)-1</f>
        <v>-1</v>
      </c>
      <c r="K31" s="45">
        <f t="shared" ref="K31" si="36">(MOD(B31-$K$3,1)*1440)</f>
        <v>955</v>
      </c>
      <c r="L31" s="46">
        <f t="shared" ref="L31" si="37">MOD($L$3-E31,1)*24</f>
        <v>17</v>
      </c>
      <c r="M31" s="47" t="e">
        <f t="shared" ref="M31" si="38">((MOD(G31-$L$3,1)*24)+(IF(B31&lt;$S$3,"+0.00","-0.5")))-(IF(G31&lt;$J$3,"-0.5","0"))</f>
        <v>#VALUE!</v>
      </c>
      <c r="N31" s="48">
        <f t="shared" ref="N31" si="39">COUNTIF(B31:H31,"ABSENT")</f>
        <v>0</v>
      </c>
      <c r="O31" s="49">
        <f t="shared" ref="O31" si="40">($N$3/26)*N31</f>
        <v>0</v>
      </c>
      <c r="P31" s="49">
        <f t="shared" ref="P31" si="41">$Q$3*U31</f>
        <v>0</v>
      </c>
      <c r="Q31" s="49">
        <f t="shared" ref="Q31" si="42">$P$3*V31</f>
        <v>0</v>
      </c>
      <c r="R31" s="50">
        <f t="shared" ref="R31" si="43">($O$3*AA31)-(MOD(I31-H31,1)*24.29)*$P$3</f>
        <v>0</v>
      </c>
      <c r="S31" s="49">
        <f t="shared" ref="S31" si="44">($P$3*W31)*125%</f>
        <v>0</v>
      </c>
      <c r="T31" s="51">
        <f t="shared" ref="T31" si="45">S31-SUM(O31:R31)</f>
        <v>0</v>
      </c>
      <c r="U31" s="52">
        <f t="shared" ref="U31" si="46">IF(AND(K31&gt;499,K31&gt;=271),0,IF(K31&lt;=270,K31,0))</f>
        <v>0</v>
      </c>
      <c r="V31" s="53">
        <f t="shared" ref="V31" si="47">IF(AND(L31&gt;17,L31&gt;=17),0,IF(L31&lt;=15,L31,0))</f>
        <v>0</v>
      </c>
      <c r="W31" s="47">
        <f t="shared" ref="W31" si="48">IFERROR(M31*1,0)</f>
        <v>0</v>
      </c>
      <c r="X31" s="54"/>
      <c r="Y31" s="17"/>
      <c r="Z31" s="55">
        <f t="shared" ref="Z31" si="49">COUNTBLANK(I31)</f>
        <v>1</v>
      </c>
      <c r="AA31" s="55">
        <f t="shared" ref="AA31" si="50">COUNTIF(Z31,"0")</f>
        <v>0</v>
      </c>
      <c r="AB31" s="58"/>
      <c r="AC31" s="19"/>
    </row>
    <row r="32" spans="1:29" ht="15.75" customHeight="1" x14ac:dyDescent="0.3">
      <c r="A32" s="12">
        <v>26</v>
      </c>
      <c r="B32" s="41"/>
      <c r="C32" s="41"/>
      <c r="D32" s="41"/>
      <c r="E32" s="41"/>
      <c r="F32" s="42"/>
      <c r="G32" s="43"/>
      <c r="H32" s="41"/>
      <c r="I32" s="41"/>
      <c r="J32" s="44">
        <f t="shared" si="16"/>
        <v>-1</v>
      </c>
      <c r="K32" s="45">
        <f t="shared" si="1"/>
        <v>955</v>
      </c>
      <c r="L32" s="46">
        <f t="shared" si="2"/>
        <v>17</v>
      </c>
      <c r="M32" s="47">
        <f t="shared" si="3"/>
        <v>7.4999999999999991</v>
      </c>
      <c r="N32" s="48">
        <f t="shared" si="4"/>
        <v>0</v>
      </c>
      <c r="O32" s="49">
        <f t="shared" si="5"/>
        <v>0</v>
      </c>
      <c r="P32" s="49">
        <f t="shared" si="6"/>
        <v>0</v>
      </c>
      <c r="Q32" s="49">
        <f t="shared" si="7"/>
        <v>0</v>
      </c>
      <c r="R32" s="50">
        <f t="shared" si="8"/>
        <v>0</v>
      </c>
      <c r="S32" s="49">
        <f t="shared" si="9"/>
        <v>0</v>
      </c>
      <c r="T32" s="51">
        <f t="shared" si="10"/>
        <v>0</v>
      </c>
      <c r="U32" s="52">
        <f t="shared" si="11"/>
        <v>0</v>
      </c>
      <c r="V32" s="53">
        <f t="shared" si="12"/>
        <v>0</v>
      </c>
      <c r="W32" s="47"/>
      <c r="X32" s="54"/>
      <c r="Y32" s="17"/>
      <c r="Z32" s="55">
        <f t="shared" si="14"/>
        <v>1</v>
      </c>
      <c r="AA32" s="55">
        <f t="shared" si="15"/>
        <v>0</v>
      </c>
      <c r="AB32" s="58"/>
      <c r="AC32" s="19"/>
    </row>
    <row r="33" spans="1:29" ht="15.75" customHeight="1" x14ac:dyDescent="0.3">
      <c r="A33" s="12">
        <v>27</v>
      </c>
      <c r="B33" s="41"/>
      <c r="C33" s="41"/>
      <c r="D33" s="41"/>
      <c r="E33" s="41"/>
      <c r="F33" s="42"/>
      <c r="G33" s="43" t="str">
        <f t="shared" si="0"/>
        <v/>
      </c>
      <c r="H33" s="41"/>
      <c r="I33" s="41"/>
      <c r="J33" s="44">
        <f t="shared" si="16"/>
        <v>-1</v>
      </c>
      <c r="K33" s="45">
        <f t="shared" si="1"/>
        <v>955</v>
      </c>
      <c r="L33" s="46">
        <f t="shared" si="2"/>
        <v>17</v>
      </c>
      <c r="M33" s="47" t="e">
        <f t="shared" si="3"/>
        <v>#VALUE!</v>
      </c>
      <c r="N33" s="48">
        <f t="shared" si="4"/>
        <v>0</v>
      </c>
      <c r="O33" s="49">
        <f t="shared" si="5"/>
        <v>0</v>
      </c>
      <c r="P33" s="49">
        <f t="shared" si="6"/>
        <v>0</v>
      </c>
      <c r="Q33" s="49">
        <f t="shared" si="7"/>
        <v>0</v>
      </c>
      <c r="R33" s="50">
        <f t="shared" si="8"/>
        <v>0</v>
      </c>
      <c r="S33" s="49">
        <f t="shared" si="9"/>
        <v>0</v>
      </c>
      <c r="T33" s="51">
        <f t="shared" si="10"/>
        <v>0</v>
      </c>
      <c r="U33" s="52">
        <f t="shared" si="11"/>
        <v>0</v>
      </c>
      <c r="V33" s="53">
        <f t="shared" si="12"/>
        <v>0</v>
      </c>
      <c r="W33" s="47">
        <f t="shared" si="13"/>
        <v>0</v>
      </c>
      <c r="X33" s="54"/>
      <c r="Y33" s="17"/>
      <c r="Z33" s="55">
        <f t="shared" si="14"/>
        <v>1</v>
      </c>
      <c r="AA33" s="55">
        <f t="shared" si="15"/>
        <v>0</v>
      </c>
      <c r="AB33" s="58"/>
      <c r="AC33" s="19"/>
    </row>
    <row r="34" spans="1:29" ht="15.75" customHeight="1" x14ac:dyDescent="0.3">
      <c r="A34" s="12">
        <v>28</v>
      </c>
      <c r="B34" s="41"/>
      <c r="C34" s="41"/>
      <c r="D34" s="41"/>
      <c r="E34" s="41"/>
      <c r="F34" s="42"/>
      <c r="G34" s="43" t="str">
        <f t="shared" si="0"/>
        <v/>
      </c>
      <c r="H34" s="41"/>
      <c r="I34" s="41"/>
      <c r="J34" s="44">
        <f t="shared" si="16"/>
        <v>-1</v>
      </c>
      <c r="K34" s="45">
        <f t="shared" si="1"/>
        <v>955</v>
      </c>
      <c r="L34" s="46">
        <f t="shared" si="2"/>
        <v>17</v>
      </c>
      <c r="M34" s="47" t="e">
        <f t="shared" si="3"/>
        <v>#VALUE!</v>
      </c>
      <c r="N34" s="48">
        <f t="shared" si="4"/>
        <v>0</v>
      </c>
      <c r="O34" s="49">
        <f t="shared" si="5"/>
        <v>0</v>
      </c>
      <c r="P34" s="49">
        <f t="shared" si="6"/>
        <v>0</v>
      </c>
      <c r="Q34" s="49">
        <f t="shared" si="7"/>
        <v>0</v>
      </c>
      <c r="R34" s="50">
        <f t="shared" si="8"/>
        <v>0</v>
      </c>
      <c r="S34" s="49">
        <f t="shared" si="9"/>
        <v>0</v>
      </c>
      <c r="T34" s="51">
        <f t="shared" si="10"/>
        <v>0</v>
      </c>
      <c r="U34" s="52">
        <f t="shared" si="11"/>
        <v>0</v>
      </c>
      <c r="V34" s="53">
        <f t="shared" si="12"/>
        <v>0</v>
      </c>
      <c r="W34" s="47">
        <f t="shared" si="13"/>
        <v>0</v>
      </c>
      <c r="X34" s="54"/>
      <c r="Y34" s="17"/>
      <c r="Z34" s="55">
        <f t="shared" si="14"/>
        <v>1</v>
      </c>
      <c r="AA34" s="55">
        <f t="shared" si="15"/>
        <v>0</v>
      </c>
      <c r="AB34" s="58"/>
      <c r="AC34" s="19"/>
    </row>
    <row r="35" spans="1:29" ht="15.75" customHeight="1" x14ac:dyDescent="0.3">
      <c r="A35" s="12">
        <v>29</v>
      </c>
      <c r="B35" s="41"/>
      <c r="C35" s="41"/>
      <c r="D35" s="41"/>
      <c r="E35" s="41"/>
      <c r="F35" s="42"/>
      <c r="G35" s="43" t="str">
        <f t="shared" si="0"/>
        <v/>
      </c>
      <c r="H35" s="41"/>
      <c r="I35" s="41"/>
      <c r="J35" s="44">
        <f t="shared" si="16"/>
        <v>-1</v>
      </c>
      <c r="K35" s="45">
        <f t="shared" si="1"/>
        <v>955</v>
      </c>
      <c r="L35" s="46">
        <f t="shared" si="2"/>
        <v>17</v>
      </c>
      <c r="M35" s="47" t="e">
        <f t="shared" si="3"/>
        <v>#VALUE!</v>
      </c>
      <c r="N35" s="48">
        <f t="shared" si="4"/>
        <v>0</v>
      </c>
      <c r="O35" s="49">
        <f t="shared" si="5"/>
        <v>0</v>
      </c>
      <c r="P35" s="49">
        <f t="shared" si="6"/>
        <v>0</v>
      </c>
      <c r="Q35" s="49">
        <f t="shared" si="7"/>
        <v>0</v>
      </c>
      <c r="R35" s="50">
        <f t="shared" si="8"/>
        <v>0</v>
      </c>
      <c r="S35" s="49">
        <f t="shared" si="9"/>
        <v>0</v>
      </c>
      <c r="T35" s="51">
        <f t="shared" si="10"/>
        <v>0</v>
      </c>
      <c r="U35" s="52">
        <f t="shared" si="11"/>
        <v>0</v>
      </c>
      <c r="V35" s="53">
        <f t="shared" si="12"/>
        <v>0</v>
      </c>
      <c r="W35" s="47">
        <f t="shared" si="13"/>
        <v>0</v>
      </c>
      <c r="X35" s="54"/>
      <c r="Y35" s="17"/>
      <c r="Z35" s="55">
        <f t="shared" si="14"/>
        <v>1</v>
      </c>
      <c r="AA35" s="55">
        <f t="shared" si="15"/>
        <v>0</v>
      </c>
      <c r="AB35" s="58"/>
      <c r="AC35" s="19"/>
    </row>
    <row r="36" spans="1:29" ht="15.75" customHeight="1" x14ac:dyDescent="0.3">
      <c r="A36" s="12">
        <v>30</v>
      </c>
      <c r="B36" s="41"/>
      <c r="C36" s="41"/>
      <c r="D36" s="41"/>
      <c r="E36" s="41"/>
      <c r="F36" s="42"/>
      <c r="G36" s="43" t="str">
        <f t="shared" si="0"/>
        <v/>
      </c>
      <c r="H36" s="41"/>
      <c r="I36" s="41"/>
      <c r="J36" s="44">
        <f t="shared" si="16"/>
        <v>-1</v>
      </c>
      <c r="K36" s="45">
        <f t="shared" si="1"/>
        <v>955</v>
      </c>
      <c r="L36" s="46">
        <f t="shared" si="2"/>
        <v>17</v>
      </c>
      <c r="M36" s="47" t="e">
        <f t="shared" si="3"/>
        <v>#VALUE!</v>
      </c>
      <c r="N36" s="48">
        <f t="shared" si="4"/>
        <v>0</v>
      </c>
      <c r="O36" s="49">
        <f t="shared" si="5"/>
        <v>0</v>
      </c>
      <c r="P36" s="49">
        <f t="shared" si="6"/>
        <v>0</v>
      </c>
      <c r="Q36" s="49">
        <f t="shared" si="7"/>
        <v>0</v>
      </c>
      <c r="R36" s="50">
        <f t="shared" si="8"/>
        <v>0</v>
      </c>
      <c r="S36" s="49">
        <f t="shared" si="9"/>
        <v>0</v>
      </c>
      <c r="T36" s="51">
        <f t="shared" si="10"/>
        <v>0</v>
      </c>
      <c r="U36" s="52">
        <f t="shared" si="11"/>
        <v>0</v>
      </c>
      <c r="V36" s="53">
        <f t="shared" si="12"/>
        <v>0</v>
      </c>
      <c r="W36" s="47">
        <f t="shared" si="13"/>
        <v>0</v>
      </c>
      <c r="X36" s="54"/>
      <c r="Y36" s="17"/>
      <c r="Z36" s="55">
        <f t="shared" si="14"/>
        <v>1</v>
      </c>
      <c r="AA36" s="55">
        <f t="shared" si="15"/>
        <v>0</v>
      </c>
      <c r="AB36" s="58"/>
      <c r="AC36" s="19"/>
    </row>
    <row r="37" spans="1:29" ht="15.75" customHeight="1" x14ac:dyDescent="0.3">
      <c r="A37" s="12">
        <v>31</v>
      </c>
      <c r="B37" s="41"/>
      <c r="C37" s="41"/>
      <c r="D37" s="41"/>
      <c r="E37" s="41"/>
      <c r="F37" s="42"/>
      <c r="G37" s="43" t="str">
        <f t="shared" si="0"/>
        <v/>
      </c>
      <c r="H37" s="41"/>
      <c r="I37" s="41"/>
      <c r="J37" s="44">
        <f t="shared" si="16"/>
        <v>-1</v>
      </c>
      <c r="K37" s="45">
        <f t="shared" si="1"/>
        <v>955</v>
      </c>
      <c r="L37" s="46">
        <f t="shared" si="2"/>
        <v>17</v>
      </c>
      <c r="M37" s="47" t="e">
        <f t="shared" si="3"/>
        <v>#VALUE!</v>
      </c>
      <c r="N37" s="48">
        <f t="shared" si="4"/>
        <v>0</v>
      </c>
      <c r="O37" s="49">
        <f t="shared" si="5"/>
        <v>0</v>
      </c>
      <c r="P37" s="49">
        <f t="shared" si="6"/>
        <v>0</v>
      </c>
      <c r="Q37" s="49">
        <f t="shared" si="7"/>
        <v>0</v>
      </c>
      <c r="R37" s="50">
        <f t="shared" si="8"/>
        <v>0</v>
      </c>
      <c r="S37" s="49">
        <f t="shared" si="9"/>
        <v>0</v>
      </c>
      <c r="T37" s="51">
        <f t="shared" si="10"/>
        <v>0</v>
      </c>
      <c r="U37" s="52">
        <f t="shared" si="11"/>
        <v>0</v>
      </c>
      <c r="V37" s="53">
        <f t="shared" si="12"/>
        <v>0</v>
      </c>
      <c r="W37" s="47">
        <f t="shared" si="13"/>
        <v>0</v>
      </c>
      <c r="X37" s="54"/>
      <c r="Y37" s="17"/>
      <c r="Z37" s="55">
        <f t="shared" si="14"/>
        <v>1</v>
      </c>
      <c r="AA37" s="55">
        <f t="shared" si="15"/>
        <v>0</v>
      </c>
      <c r="AB37" s="58"/>
      <c r="AC37" s="19"/>
    </row>
    <row r="38" spans="1:29" ht="15.75" customHeight="1" x14ac:dyDescent="0.35">
      <c r="A38" s="17"/>
      <c r="B38" s="60" t="s">
        <v>51</v>
      </c>
      <c r="C38" s="61"/>
      <c r="D38" s="61"/>
      <c r="E38" s="61"/>
      <c r="F38" s="61"/>
      <c r="G38" s="61"/>
      <c r="H38" s="61"/>
      <c r="I38" s="17"/>
      <c r="J38" s="17"/>
      <c r="K38" s="17"/>
      <c r="L38" s="17"/>
      <c r="M38" s="17"/>
      <c r="N38" s="17"/>
      <c r="O38" s="17"/>
      <c r="P38" s="17"/>
      <c r="Q38" s="17"/>
      <c r="R38" s="61"/>
      <c r="S38" s="17"/>
      <c r="T38" s="131">
        <f>SUM(T7:T37)</f>
        <v>0</v>
      </c>
      <c r="U38" s="17"/>
      <c r="V38" s="17"/>
      <c r="W38" s="17"/>
      <c r="X38" s="133">
        <f>SUM(X7:X37)</f>
        <v>3542.5</v>
      </c>
      <c r="Y38" s="132">
        <f>P42+S39-O39-P39-Q39-X38</f>
        <v>3457.5</v>
      </c>
      <c r="Z38" s="124"/>
      <c r="AA38" s="125"/>
      <c r="AB38" s="19"/>
      <c r="AC38" s="19"/>
    </row>
    <row r="39" spans="1:29" ht="15.75" customHeight="1" x14ac:dyDescent="0.3">
      <c r="O39" s="75">
        <f>SUM(O7:O38)</f>
        <v>0</v>
      </c>
      <c r="P39" s="75">
        <f>SUM(P7:P38)</f>
        <v>0</v>
      </c>
      <c r="Q39" s="75">
        <f>SUM(Q7:Q38)</f>
        <v>0</v>
      </c>
      <c r="S39" s="75">
        <f>SUM(S7:S38)</f>
        <v>0</v>
      </c>
      <c r="AC39" s="19"/>
    </row>
    <row r="40" spans="1:29" ht="15.75" customHeight="1" x14ac:dyDescent="0.3">
      <c r="A40" s="64" t="s">
        <v>52</v>
      </c>
    </row>
    <row r="41" spans="1:29" ht="21" customHeight="1" x14ac:dyDescent="0.3">
      <c r="B41" s="134" t="s">
        <v>53</v>
      </c>
      <c r="C41" s="135"/>
      <c r="D41" s="135"/>
      <c r="N41" s="101" t="s">
        <v>88</v>
      </c>
      <c r="O41" s="101"/>
      <c r="P41" s="78">
        <v>14</v>
      </c>
      <c r="Q41" s="75"/>
    </row>
    <row r="42" spans="1:29" ht="15.75" customHeight="1" x14ac:dyDescent="0.3">
      <c r="B42" s="136" t="s">
        <v>54</v>
      </c>
      <c r="C42" s="137"/>
      <c r="D42" s="137"/>
      <c r="O42" s="80" t="s">
        <v>86</v>
      </c>
      <c r="P42" s="79">
        <f>P41*O3</f>
        <v>7000</v>
      </c>
    </row>
    <row r="43" spans="1:29" ht="15.75" customHeight="1" x14ac:dyDescent="0.3">
      <c r="B43" s="68" t="s">
        <v>55</v>
      </c>
      <c r="C43" s="69"/>
      <c r="D43" s="69"/>
      <c r="N43" s="101" t="s">
        <v>87</v>
      </c>
      <c r="O43" s="101"/>
    </row>
    <row r="44" spans="1:29" ht="15.75" customHeight="1" x14ac:dyDescent="0.3">
      <c r="B44" s="70" t="s">
        <v>21</v>
      </c>
      <c r="C44" s="40"/>
      <c r="D44" s="40"/>
      <c r="N44" s="102" t="s">
        <v>89</v>
      </c>
      <c r="O44" s="102"/>
      <c r="P44" s="81">
        <f>P43*1000</f>
        <v>0</v>
      </c>
    </row>
    <row r="45" spans="1:29" ht="15.75" customHeight="1" x14ac:dyDescent="0.3">
      <c r="B45" s="71">
        <v>0.31597222222222221</v>
      </c>
      <c r="C45" s="12" t="s">
        <v>56</v>
      </c>
      <c r="D45" s="72" t="s">
        <v>57</v>
      </c>
      <c r="E45" s="72"/>
      <c r="F45" s="72"/>
      <c r="G45" s="72"/>
      <c r="H45" s="72"/>
      <c r="I45" s="72"/>
      <c r="J45" s="72"/>
    </row>
    <row r="46" spans="1:29" ht="15.75" customHeight="1" x14ac:dyDescent="0.3">
      <c r="B46" s="71">
        <v>0.31666666666666665</v>
      </c>
      <c r="C46" s="12" t="s">
        <v>58</v>
      </c>
      <c r="D46" s="72" t="s">
        <v>59</v>
      </c>
      <c r="E46" s="72"/>
      <c r="F46" s="72"/>
      <c r="G46" s="72"/>
      <c r="H46" s="72"/>
      <c r="I46" s="72"/>
      <c r="J46" s="72"/>
    </row>
    <row r="47" spans="1:29" ht="15.75" customHeight="1" x14ac:dyDescent="0.3">
      <c r="B47" s="71">
        <v>0.31944444444444448</v>
      </c>
      <c r="C47" s="12" t="s">
        <v>60</v>
      </c>
      <c r="D47" s="72" t="s">
        <v>61</v>
      </c>
      <c r="E47" s="72"/>
      <c r="F47" s="72"/>
      <c r="G47" s="72"/>
      <c r="H47" s="72"/>
      <c r="I47" s="72"/>
      <c r="J47" s="72"/>
    </row>
    <row r="48" spans="1:29" ht="15.75" customHeight="1" x14ac:dyDescent="0.3">
      <c r="B48" s="71">
        <v>0.32291666666666669</v>
      </c>
      <c r="C48" s="12" t="s">
        <v>62</v>
      </c>
      <c r="D48" s="72" t="s">
        <v>63</v>
      </c>
      <c r="E48" s="72"/>
      <c r="F48" s="72"/>
      <c r="G48" s="72"/>
      <c r="H48" s="72"/>
      <c r="I48" s="72"/>
      <c r="J48" s="72"/>
    </row>
    <row r="49" spans="2:10" ht="15.75" customHeight="1" x14ac:dyDescent="0.3">
      <c r="B49" s="71">
        <v>0.32361111111111113</v>
      </c>
      <c r="C49" s="12" t="s">
        <v>64</v>
      </c>
      <c r="D49" s="72" t="s">
        <v>65</v>
      </c>
      <c r="E49" s="72"/>
      <c r="F49" s="72"/>
      <c r="G49" s="72"/>
      <c r="H49" s="72"/>
      <c r="I49" s="72"/>
      <c r="J49" s="72"/>
    </row>
    <row r="50" spans="2:10" ht="15.75" customHeight="1" x14ac:dyDescent="0.3">
      <c r="B50" s="71">
        <v>0.70833333333333337</v>
      </c>
      <c r="C50" s="12" t="s">
        <v>66</v>
      </c>
      <c r="D50" s="72" t="s">
        <v>67</v>
      </c>
      <c r="E50" s="72"/>
      <c r="F50" s="72"/>
      <c r="G50" s="72"/>
      <c r="H50" s="72"/>
      <c r="I50" s="72"/>
      <c r="J50" s="72"/>
    </row>
    <row r="51" spans="2:10" ht="15.75" customHeight="1" x14ac:dyDescent="0.3">
      <c r="B51" s="71">
        <v>0.72916666666666663</v>
      </c>
      <c r="C51" s="12" t="s">
        <v>68</v>
      </c>
      <c r="D51" s="72" t="s">
        <v>69</v>
      </c>
      <c r="E51" s="72"/>
      <c r="F51" s="72"/>
      <c r="G51" s="72"/>
      <c r="H51" s="72"/>
      <c r="I51" s="72"/>
      <c r="J51" s="72"/>
    </row>
    <row r="52" spans="2:10" ht="15.75" customHeight="1" x14ac:dyDescent="0.3">
      <c r="B52" s="71">
        <v>0.72986111111111107</v>
      </c>
      <c r="C52" s="12" t="s">
        <v>70</v>
      </c>
      <c r="D52" s="72" t="s">
        <v>71</v>
      </c>
      <c r="E52" s="72"/>
      <c r="F52" s="72"/>
      <c r="G52" s="72"/>
      <c r="H52" s="72"/>
      <c r="I52" s="72"/>
      <c r="J52" s="72"/>
    </row>
    <row r="53" spans="2:10" ht="15.75" customHeight="1" x14ac:dyDescent="0.3">
      <c r="B53" s="7" t="s">
        <v>72</v>
      </c>
      <c r="C53" s="73" t="s">
        <v>73</v>
      </c>
    </row>
    <row r="54" spans="2:10" ht="15.75" customHeight="1" x14ac:dyDescent="0.3">
      <c r="C54" s="73" t="s">
        <v>74</v>
      </c>
    </row>
    <row r="55" spans="2:10" ht="15.75" customHeight="1" x14ac:dyDescent="0.3">
      <c r="C55" s="73" t="s">
        <v>75</v>
      </c>
    </row>
    <row r="56" spans="2:10" ht="15.75" customHeight="1" x14ac:dyDescent="0.3">
      <c r="C56" s="12"/>
    </row>
    <row r="57" spans="2:10" ht="15.75" customHeight="1" x14ac:dyDescent="0.3">
      <c r="C57" s="12"/>
    </row>
    <row r="58" spans="2:10" ht="15.75" customHeight="1" x14ac:dyDescent="0.3">
      <c r="C58" s="12"/>
    </row>
    <row r="59" spans="2:10" ht="15.75" customHeight="1" x14ac:dyDescent="0.3">
      <c r="C59" s="12"/>
    </row>
    <row r="60" spans="2:10" ht="15.75" customHeight="1" x14ac:dyDescent="0.3">
      <c r="C60" s="12"/>
    </row>
    <row r="61" spans="2:10" ht="15.75" customHeight="1" x14ac:dyDescent="0.3">
      <c r="C61" s="12"/>
    </row>
    <row r="62" spans="2:10" ht="15.75" customHeight="1" x14ac:dyDescent="0.3">
      <c r="C62" s="12"/>
    </row>
    <row r="63" spans="2:10" ht="15.75" customHeight="1" x14ac:dyDescent="0.3">
      <c r="C63" s="12"/>
    </row>
    <row r="64" spans="2:10" ht="15.75" customHeight="1" x14ac:dyDescent="0.3">
      <c r="C64" s="12"/>
    </row>
    <row r="65" spans="3:3" ht="15.75" customHeight="1" x14ac:dyDescent="0.3">
      <c r="C65" s="12"/>
    </row>
    <row r="66" spans="3:3" ht="15.75" customHeight="1" x14ac:dyDescent="0.3">
      <c r="C66" s="12"/>
    </row>
    <row r="67" spans="3:3" ht="15.75" customHeight="1" x14ac:dyDescent="0.3">
      <c r="C67" s="12"/>
    </row>
    <row r="68" spans="3:3" ht="15.75" customHeight="1" x14ac:dyDescent="0.3">
      <c r="C68" s="12"/>
    </row>
    <row r="69" spans="3:3" ht="15.75" customHeight="1" x14ac:dyDescent="0.3">
      <c r="C69" s="12"/>
    </row>
    <row r="70" spans="3:3" ht="15.75" customHeight="1" x14ac:dyDescent="0.3">
      <c r="C70" s="12"/>
    </row>
    <row r="71" spans="3:3" ht="15.75" customHeight="1" x14ac:dyDescent="0.3">
      <c r="C71" s="12"/>
    </row>
    <row r="72" spans="3:3" ht="15.75" customHeight="1" x14ac:dyDescent="0.3">
      <c r="C72" s="12"/>
    </row>
    <row r="73" spans="3:3" ht="15.75" customHeight="1" x14ac:dyDescent="0.3">
      <c r="C73" s="12"/>
    </row>
    <row r="74" spans="3:3" ht="15.75" customHeight="1" x14ac:dyDescent="0.3">
      <c r="C74" s="12"/>
    </row>
    <row r="75" spans="3:3" ht="15.75" customHeight="1" x14ac:dyDescent="0.3">
      <c r="C75" s="12"/>
    </row>
    <row r="76" spans="3:3" ht="15.75" customHeight="1" x14ac:dyDescent="0.3">
      <c r="C76" s="12"/>
    </row>
    <row r="77" spans="3:3" ht="15.75" customHeight="1" x14ac:dyDescent="0.3">
      <c r="C77" s="12"/>
    </row>
    <row r="78" spans="3:3" ht="15.75" customHeight="1" x14ac:dyDescent="0.3">
      <c r="C78" s="12"/>
    </row>
    <row r="79" spans="3:3" ht="21" customHeight="1" x14ac:dyDescent="0.3">
      <c r="C79" s="12"/>
    </row>
    <row r="80" spans="3:3" ht="15.75" customHeight="1" x14ac:dyDescent="0.3">
      <c r="C80" s="12"/>
    </row>
    <row r="81" spans="3:3" ht="15.75" customHeight="1" x14ac:dyDescent="0.3">
      <c r="C81" s="12"/>
    </row>
    <row r="82" spans="3:3" ht="15.75" customHeight="1" x14ac:dyDescent="0.3">
      <c r="C82" s="12"/>
    </row>
    <row r="83" spans="3:3" ht="15.75" customHeight="1" x14ac:dyDescent="0.3">
      <c r="C83" s="12"/>
    </row>
    <row r="84" spans="3:3" ht="15.75" customHeight="1" x14ac:dyDescent="0.3">
      <c r="C84" s="12"/>
    </row>
    <row r="85" spans="3:3" ht="15.75" customHeight="1" x14ac:dyDescent="0.3">
      <c r="C85" s="12"/>
    </row>
    <row r="86" spans="3:3" ht="15.75" customHeight="1" x14ac:dyDescent="0.3">
      <c r="C86" s="12"/>
    </row>
    <row r="87" spans="3:3" ht="15.75" customHeight="1" x14ac:dyDescent="0.3">
      <c r="C87" s="12"/>
    </row>
    <row r="88" spans="3:3" ht="15.75" customHeight="1" x14ac:dyDescent="0.3">
      <c r="C88" s="12"/>
    </row>
    <row r="89" spans="3:3" ht="15.75" customHeight="1" x14ac:dyDescent="0.3">
      <c r="C89" s="12"/>
    </row>
    <row r="90" spans="3:3" ht="15.75" customHeight="1" x14ac:dyDescent="0.3">
      <c r="C90" s="12"/>
    </row>
    <row r="91" spans="3:3" ht="15.75" customHeight="1" x14ac:dyDescent="0.3">
      <c r="C91" s="12"/>
    </row>
    <row r="92" spans="3:3" ht="15.75" customHeight="1" x14ac:dyDescent="0.3">
      <c r="C92" s="12"/>
    </row>
    <row r="93" spans="3:3" ht="15.75" customHeight="1" x14ac:dyDescent="0.3">
      <c r="C93" s="12"/>
    </row>
    <row r="94" spans="3:3" ht="15.75" customHeight="1" x14ac:dyDescent="0.3">
      <c r="C94" s="12"/>
    </row>
    <row r="95" spans="3:3" ht="15.75" customHeight="1" x14ac:dyDescent="0.3">
      <c r="C95" s="12"/>
    </row>
    <row r="96" spans="3:3" ht="15.75" customHeight="1" x14ac:dyDescent="0.3">
      <c r="C96" s="12"/>
    </row>
    <row r="97" spans="3:3" ht="15.75" customHeight="1" x14ac:dyDescent="0.3">
      <c r="C97" s="12"/>
    </row>
    <row r="98" spans="3:3" ht="15.75" customHeight="1" x14ac:dyDescent="0.3">
      <c r="C98" s="12"/>
    </row>
    <row r="99" spans="3:3" ht="15.75" customHeight="1" x14ac:dyDescent="0.3">
      <c r="C99" s="12"/>
    </row>
    <row r="100" spans="3:3" ht="15.75" customHeight="1" x14ac:dyDescent="0.3">
      <c r="C100" s="12"/>
    </row>
    <row r="101" spans="3:3" ht="15.75" customHeight="1" x14ac:dyDescent="0.3">
      <c r="C101" s="12"/>
    </row>
    <row r="102" spans="3:3" ht="15.75" customHeight="1" x14ac:dyDescent="0.3">
      <c r="C102" s="12"/>
    </row>
    <row r="103" spans="3:3" ht="15.75" customHeight="1" x14ac:dyDescent="0.3">
      <c r="C103" s="12"/>
    </row>
    <row r="104" spans="3:3" ht="15.75" customHeight="1" x14ac:dyDescent="0.3">
      <c r="C104" s="12"/>
    </row>
    <row r="105" spans="3:3" ht="15.75" customHeight="1" x14ac:dyDescent="0.3">
      <c r="C105" s="12"/>
    </row>
    <row r="106" spans="3:3" ht="15.75" customHeight="1" x14ac:dyDescent="0.3">
      <c r="C106" s="12"/>
    </row>
    <row r="107" spans="3:3" ht="15.75" customHeight="1" x14ac:dyDescent="0.3">
      <c r="C107" s="12"/>
    </row>
    <row r="108" spans="3:3" ht="15.75" customHeight="1" x14ac:dyDescent="0.3">
      <c r="C108" s="12"/>
    </row>
    <row r="109" spans="3:3" ht="15.75" customHeight="1" x14ac:dyDescent="0.3">
      <c r="C109" s="12"/>
    </row>
    <row r="110" spans="3:3" ht="15.75" customHeight="1" x14ac:dyDescent="0.3">
      <c r="C110" s="12"/>
    </row>
    <row r="111" spans="3:3" ht="15.75" customHeight="1" x14ac:dyDescent="0.3">
      <c r="C111" s="12"/>
    </row>
    <row r="112" spans="3:3" ht="15.75" customHeight="1" x14ac:dyDescent="0.3">
      <c r="C112" s="12"/>
    </row>
    <row r="113" spans="3:3" ht="15.75" customHeight="1" x14ac:dyDescent="0.3">
      <c r="C113" s="12"/>
    </row>
    <row r="114" spans="3:3" ht="15.75" customHeight="1" x14ac:dyDescent="0.3">
      <c r="C114" s="12"/>
    </row>
    <row r="115" spans="3:3" ht="15.75" customHeight="1" x14ac:dyDescent="0.3">
      <c r="C115" s="12"/>
    </row>
    <row r="116" spans="3:3" ht="15.75" customHeight="1" x14ac:dyDescent="0.3">
      <c r="C116" s="12"/>
    </row>
    <row r="117" spans="3:3" ht="21" customHeight="1" x14ac:dyDescent="0.3">
      <c r="C117" s="12"/>
    </row>
    <row r="118" spans="3:3" ht="15.75" customHeight="1" x14ac:dyDescent="0.3">
      <c r="C118" s="12"/>
    </row>
    <row r="119" spans="3:3" ht="15.75" customHeight="1" x14ac:dyDescent="0.3">
      <c r="C119" s="12"/>
    </row>
    <row r="120" spans="3:3" ht="15.75" customHeight="1" x14ac:dyDescent="0.3">
      <c r="C120" s="12"/>
    </row>
    <row r="121" spans="3:3" ht="15.75" customHeight="1" x14ac:dyDescent="0.3">
      <c r="C121" s="12"/>
    </row>
    <row r="122" spans="3:3" ht="15.75" customHeight="1" x14ac:dyDescent="0.3">
      <c r="C122" s="12"/>
    </row>
    <row r="123" spans="3:3" ht="15.75" customHeight="1" x14ac:dyDescent="0.3">
      <c r="C123" s="12"/>
    </row>
    <row r="124" spans="3:3" ht="15.75" customHeight="1" x14ac:dyDescent="0.3">
      <c r="C124" s="12"/>
    </row>
    <row r="125" spans="3:3" ht="15.75" customHeight="1" x14ac:dyDescent="0.3">
      <c r="C125" s="12"/>
    </row>
    <row r="126" spans="3:3" ht="15.75" customHeight="1" x14ac:dyDescent="0.3">
      <c r="C126" s="12"/>
    </row>
    <row r="127" spans="3:3" ht="15.75" customHeight="1" x14ac:dyDescent="0.3">
      <c r="C127" s="12"/>
    </row>
    <row r="128" spans="3:3" ht="15.75" customHeight="1" x14ac:dyDescent="0.3">
      <c r="C128" s="12"/>
    </row>
    <row r="129" spans="3:3" ht="15.75" customHeight="1" x14ac:dyDescent="0.3">
      <c r="C129" s="12"/>
    </row>
    <row r="130" spans="3:3" ht="15.75" customHeight="1" x14ac:dyDescent="0.3">
      <c r="C130" s="12"/>
    </row>
    <row r="131" spans="3:3" ht="15.75" customHeight="1" x14ac:dyDescent="0.3">
      <c r="C131" s="12"/>
    </row>
    <row r="132" spans="3:3" ht="15.75" customHeight="1" x14ac:dyDescent="0.3">
      <c r="C132" s="12"/>
    </row>
    <row r="133" spans="3:3" ht="15.75" customHeight="1" x14ac:dyDescent="0.3">
      <c r="C133" s="12"/>
    </row>
    <row r="134" spans="3:3" ht="15.75" customHeight="1" x14ac:dyDescent="0.3">
      <c r="C134" s="12"/>
    </row>
    <row r="135" spans="3:3" ht="15.75" customHeight="1" x14ac:dyDescent="0.3">
      <c r="C135" s="12"/>
    </row>
    <row r="136" spans="3:3" ht="15.75" customHeight="1" x14ac:dyDescent="0.3">
      <c r="C136" s="12"/>
    </row>
    <row r="137" spans="3:3" ht="15.75" customHeight="1" x14ac:dyDescent="0.3">
      <c r="C137" s="12"/>
    </row>
    <row r="138" spans="3:3" ht="15.75" customHeight="1" x14ac:dyDescent="0.3">
      <c r="C138" s="12"/>
    </row>
    <row r="139" spans="3:3" ht="15.75" customHeight="1" x14ac:dyDescent="0.3">
      <c r="C139" s="12"/>
    </row>
    <row r="140" spans="3:3" ht="15.75" customHeight="1" x14ac:dyDescent="0.3">
      <c r="C140" s="12"/>
    </row>
    <row r="141" spans="3:3" ht="15.75" customHeight="1" x14ac:dyDescent="0.3">
      <c r="C141" s="12"/>
    </row>
    <row r="142" spans="3:3" ht="15.75" customHeight="1" x14ac:dyDescent="0.3">
      <c r="C142" s="12"/>
    </row>
    <row r="143" spans="3:3" ht="15.75" customHeight="1" x14ac:dyDescent="0.3">
      <c r="C143" s="12"/>
    </row>
    <row r="144" spans="3:3" ht="15.75" customHeight="1" x14ac:dyDescent="0.3">
      <c r="C144" s="12"/>
    </row>
    <row r="145" spans="3:3" ht="15.75" customHeight="1" x14ac:dyDescent="0.3">
      <c r="C145" s="12"/>
    </row>
    <row r="146" spans="3:3" ht="15.75" customHeight="1" x14ac:dyDescent="0.3">
      <c r="C146" s="12"/>
    </row>
    <row r="147" spans="3:3" ht="15.75" customHeight="1" x14ac:dyDescent="0.3">
      <c r="C147" s="12"/>
    </row>
    <row r="148" spans="3:3" ht="15.75" customHeight="1" x14ac:dyDescent="0.3">
      <c r="C148" s="12"/>
    </row>
    <row r="149" spans="3:3" ht="15.75" customHeight="1" x14ac:dyDescent="0.3">
      <c r="C149" s="12"/>
    </row>
    <row r="150" spans="3:3" ht="15.75" customHeight="1" x14ac:dyDescent="0.3">
      <c r="C150" s="12"/>
    </row>
    <row r="151" spans="3:3" ht="15.75" customHeight="1" x14ac:dyDescent="0.3">
      <c r="C151" s="12"/>
    </row>
    <row r="152" spans="3:3" ht="15.75" customHeight="1" x14ac:dyDescent="0.3">
      <c r="C152" s="12"/>
    </row>
    <row r="153" spans="3:3" ht="15.75" customHeight="1" x14ac:dyDescent="0.3">
      <c r="C153" s="12"/>
    </row>
    <row r="154" spans="3:3" ht="15.75" customHeight="1" x14ac:dyDescent="0.3">
      <c r="C154" s="12"/>
    </row>
    <row r="155" spans="3:3" ht="21" customHeight="1" x14ac:dyDescent="0.3">
      <c r="C155" s="12"/>
    </row>
    <row r="156" spans="3:3" ht="15.75" customHeight="1" x14ac:dyDescent="0.3">
      <c r="C156" s="12"/>
    </row>
    <row r="157" spans="3:3" ht="15.75" customHeight="1" x14ac:dyDescent="0.3">
      <c r="C157" s="12"/>
    </row>
    <row r="158" spans="3:3" ht="15.75" customHeight="1" x14ac:dyDescent="0.3">
      <c r="C158" s="12"/>
    </row>
    <row r="159" spans="3:3" ht="15.75" customHeight="1" x14ac:dyDescent="0.3">
      <c r="C159" s="12"/>
    </row>
    <row r="160" spans="3:3" ht="15.75" customHeight="1" x14ac:dyDescent="0.3">
      <c r="C160" s="12"/>
    </row>
    <row r="161" spans="3:3" ht="15.75" customHeight="1" x14ac:dyDescent="0.3">
      <c r="C161" s="12"/>
    </row>
    <row r="162" spans="3:3" ht="15.75" customHeight="1" x14ac:dyDescent="0.3">
      <c r="C162" s="12"/>
    </row>
    <row r="163" spans="3:3" ht="15.75" customHeight="1" x14ac:dyDescent="0.3">
      <c r="C163" s="12"/>
    </row>
    <row r="164" spans="3:3" ht="15.75" customHeight="1" x14ac:dyDescent="0.3">
      <c r="C164" s="12"/>
    </row>
    <row r="165" spans="3:3" ht="15.75" customHeight="1" x14ac:dyDescent="0.3">
      <c r="C165" s="12"/>
    </row>
    <row r="166" spans="3:3" ht="15.75" customHeight="1" x14ac:dyDescent="0.3">
      <c r="C166" s="12"/>
    </row>
    <row r="167" spans="3:3" ht="15.75" customHeight="1" x14ac:dyDescent="0.3">
      <c r="C167" s="12"/>
    </row>
    <row r="168" spans="3:3" ht="15.75" customHeight="1" x14ac:dyDescent="0.3">
      <c r="C168" s="12"/>
    </row>
    <row r="169" spans="3:3" ht="15.75" customHeight="1" x14ac:dyDescent="0.3">
      <c r="C169" s="12"/>
    </row>
    <row r="170" spans="3:3" ht="15.75" customHeight="1" x14ac:dyDescent="0.3">
      <c r="C170" s="12"/>
    </row>
    <row r="171" spans="3:3" ht="15.75" customHeight="1" x14ac:dyDescent="0.3">
      <c r="C171" s="12"/>
    </row>
    <row r="172" spans="3:3" ht="15.75" customHeight="1" x14ac:dyDescent="0.3">
      <c r="C172" s="12"/>
    </row>
    <row r="173" spans="3:3" ht="15.75" customHeight="1" x14ac:dyDescent="0.3">
      <c r="C173" s="12"/>
    </row>
    <row r="174" spans="3:3" ht="15.75" customHeight="1" x14ac:dyDescent="0.3">
      <c r="C174" s="12"/>
    </row>
    <row r="175" spans="3:3" ht="15.75" customHeight="1" x14ac:dyDescent="0.3">
      <c r="C175" s="12"/>
    </row>
    <row r="176" spans="3:3" ht="15.75" customHeight="1" x14ac:dyDescent="0.3">
      <c r="C176" s="12"/>
    </row>
    <row r="177" spans="3:3" ht="15.75" customHeight="1" x14ac:dyDescent="0.3">
      <c r="C177" s="12"/>
    </row>
    <row r="178" spans="3:3" ht="15.75" customHeight="1" x14ac:dyDescent="0.3">
      <c r="C178" s="12"/>
    </row>
    <row r="179" spans="3:3" ht="15.75" customHeight="1" x14ac:dyDescent="0.3">
      <c r="C179" s="12"/>
    </row>
    <row r="180" spans="3:3" ht="15.75" customHeight="1" x14ac:dyDescent="0.3">
      <c r="C180" s="12"/>
    </row>
    <row r="181" spans="3:3" ht="15.75" customHeight="1" x14ac:dyDescent="0.3">
      <c r="C181" s="12"/>
    </row>
    <row r="182" spans="3:3" ht="15.75" customHeight="1" x14ac:dyDescent="0.3">
      <c r="C182" s="12"/>
    </row>
    <row r="183" spans="3:3" ht="15.75" customHeight="1" x14ac:dyDescent="0.3">
      <c r="C183" s="12"/>
    </row>
    <row r="184" spans="3:3" ht="15.75" customHeight="1" x14ac:dyDescent="0.3">
      <c r="C184" s="12"/>
    </row>
    <row r="185" spans="3:3" ht="15.75" customHeight="1" x14ac:dyDescent="0.3">
      <c r="C185" s="12"/>
    </row>
    <row r="186" spans="3:3" ht="15.75" customHeight="1" x14ac:dyDescent="0.3">
      <c r="C186" s="12"/>
    </row>
    <row r="187" spans="3:3" ht="15.75" customHeight="1" x14ac:dyDescent="0.3">
      <c r="C187" s="12"/>
    </row>
    <row r="188" spans="3:3" ht="15.75" customHeight="1" x14ac:dyDescent="0.3">
      <c r="C188" s="12"/>
    </row>
    <row r="189" spans="3:3" ht="15.75" customHeight="1" x14ac:dyDescent="0.3">
      <c r="C189" s="12"/>
    </row>
    <row r="190" spans="3:3" ht="15.75" customHeight="1" x14ac:dyDescent="0.3">
      <c r="C190" s="12"/>
    </row>
    <row r="191" spans="3:3" ht="15.75" customHeight="1" x14ac:dyDescent="0.3">
      <c r="C191" s="12"/>
    </row>
    <row r="192" spans="3:3" ht="15.75" customHeight="1" x14ac:dyDescent="0.3">
      <c r="C192" s="12"/>
    </row>
    <row r="193" spans="3:3" ht="21" customHeight="1" x14ac:dyDescent="0.3">
      <c r="C193" s="12"/>
    </row>
    <row r="194" spans="3:3" ht="15.75" customHeight="1" x14ac:dyDescent="0.3">
      <c r="C194" s="12"/>
    </row>
    <row r="195" spans="3:3" ht="15.75" customHeight="1" x14ac:dyDescent="0.3">
      <c r="C195" s="12"/>
    </row>
    <row r="196" spans="3:3" ht="15.75" customHeight="1" x14ac:dyDescent="0.3">
      <c r="C196" s="12"/>
    </row>
    <row r="197" spans="3:3" ht="15.75" customHeight="1" x14ac:dyDescent="0.3">
      <c r="C197" s="12"/>
    </row>
    <row r="198" spans="3:3" ht="15.75" customHeight="1" x14ac:dyDescent="0.3">
      <c r="C198" s="12"/>
    </row>
    <row r="199" spans="3:3" ht="15.75" customHeight="1" x14ac:dyDescent="0.3">
      <c r="C199" s="12"/>
    </row>
    <row r="200" spans="3:3" ht="15.75" customHeight="1" x14ac:dyDescent="0.3">
      <c r="C200" s="12"/>
    </row>
    <row r="201" spans="3:3" ht="15.75" customHeight="1" x14ac:dyDescent="0.3">
      <c r="C201" s="12"/>
    </row>
    <row r="202" spans="3:3" ht="15.75" customHeight="1" x14ac:dyDescent="0.3">
      <c r="C202" s="12"/>
    </row>
    <row r="203" spans="3:3" ht="15.75" customHeight="1" x14ac:dyDescent="0.3">
      <c r="C203" s="12"/>
    </row>
    <row r="204" spans="3:3" ht="15.75" customHeight="1" x14ac:dyDescent="0.3">
      <c r="C204" s="12"/>
    </row>
    <row r="205" spans="3:3" ht="15.75" customHeight="1" x14ac:dyDescent="0.3">
      <c r="C205" s="12"/>
    </row>
    <row r="206" spans="3:3" ht="15.75" customHeight="1" x14ac:dyDescent="0.3">
      <c r="C206" s="12"/>
    </row>
    <row r="207" spans="3:3" ht="15.75" customHeight="1" x14ac:dyDescent="0.3">
      <c r="C207" s="12"/>
    </row>
    <row r="208" spans="3:3" ht="15.75" customHeight="1" x14ac:dyDescent="0.3">
      <c r="C208" s="12"/>
    </row>
    <row r="209" spans="3:3" ht="15.75" customHeight="1" x14ac:dyDescent="0.3">
      <c r="C209" s="12"/>
    </row>
    <row r="210" spans="3:3" ht="15.75" customHeight="1" x14ac:dyDescent="0.3">
      <c r="C210" s="12"/>
    </row>
    <row r="211" spans="3:3" ht="15.75" customHeight="1" x14ac:dyDescent="0.3">
      <c r="C211" s="12"/>
    </row>
    <row r="212" spans="3:3" ht="15.75" customHeight="1" x14ac:dyDescent="0.3">
      <c r="C212" s="12"/>
    </row>
    <row r="213" spans="3:3" ht="15.75" customHeight="1" x14ac:dyDescent="0.3">
      <c r="C213" s="12"/>
    </row>
    <row r="214" spans="3:3" ht="15.75" customHeight="1" x14ac:dyDescent="0.3">
      <c r="C214" s="12"/>
    </row>
    <row r="215" spans="3:3" ht="15.75" customHeight="1" x14ac:dyDescent="0.3">
      <c r="C215" s="12"/>
    </row>
    <row r="216" spans="3:3" ht="15.75" customHeight="1" x14ac:dyDescent="0.3">
      <c r="C216" s="12"/>
    </row>
    <row r="217" spans="3:3" ht="15.75" customHeight="1" x14ac:dyDescent="0.3">
      <c r="C217" s="12"/>
    </row>
    <row r="218" spans="3:3" ht="15.75" customHeight="1" x14ac:dyDescent="0.3">
      <c r="C218" s="12"/>
    </row>
    <row r="219" spans="3:3" ht="15.75" customHeight="1" x14ac:dyDescent="0.3">
      <c r="C219" s="12"/>
    </row>
    <row r="220" spans="3:3" ht="15.75" customHeight="1" x14ac:dyDescent="0.3">
      <c r="C220" s="12"/>
    </row>
    <row r="221" spans="3:3" ht="15.75" customHeight="1" x14ac:dyDescent="0.3">
      <c r="C221" s="12"/>
    </row>
    <row r="222" spans="3:3" ht="15.75" customHeight="1" x14ac:dyDescent="0.3">
      <c r="C222" s="12"/>
    </row>
    <row r="223" spans="3:3" ht="15.75" customHeight="1" x14ac:dyDescent="0.3">
      <c r="C223" s="12"/>
    </row>
    <row r="224" spans="3:3" ht="15.75" customHeight="1" x14ac:dyDescent="0.3">
      <c r="C224" s="12"/>
    </row>
    <row r="225" spans="3:3" ht="15.75" customHeight="1" x14ac:dyDescent="0.3">
      <c r="C225" s="12"/>
    </row>
    <row r="226" spans="3:3" ht="15.75" customHeight="1" x14ac:dyDescent="0.3">
      <c r="C226" s="12"/>
    </row>
    <row r="227" spans="3:3" ht="15.75" customHeight="1" x14ac:dyDescent="0.3">
      <c r="C227" s="12"/>
    </row>
    <row r="228" spans="3:3" ht="15.75" customHeight="1" x14ac:dyDescent="0.3">
      <c r="C228" s="12"/>
    </row>
    <row r="229" spans="3:3" ht="15.75" customHeight="1" x14ac:dyDescent="0.3">
      <c r="C229" s="12"/>
    </row>
    <row r="230" spans="3:3" ht="15.75" customHeight="1" x14ac:dyDescent="0.3">
      <c r="C230" s="12"/>
    </row>
    <row r="231" spans="3:3" ht="21" customHeight="1" x14ac:dyDescent="0.3">
      <c r="C231" s="12"/>
    </row>
    <row r="232" spans="3:3" ht="15.75" customHeight="1" x14ac:dyDescent="0.3">
      <c r="C232" s="12"/>
    </row>
    <row r="233" spans="3:3" ht="15.75" customHeight="1" x14ac:dyDescent="0.3">
      <c r="C233" s="12"/>
    </row>
    <row r="234" spans="3:3" ht="15.75" customHeight="1" x14ac:dyDescent="0.3">
      <c r="C234" s="12"/>
    </row>
    <row r="235" spans="3:3" ht="15.75" customHeight="1" x14ac:dyDescent="0.3">
      <c r="C235" s="12"/>
    </row>
    <row r="236" spans="3:3" ht="15.75" customHeight="1" x14ac:dyDescent="0.3">
      <c r="C236" s="12"/>
    </row>
    <row r="237" spans="3:3" ht="15.75" customHeight="1" x14ac:dyDescent="0.3">
      <c r="C237" s="12"/>
    </row>
    <row r="238" spans="3:3" ht="15.75" customHeight="1" x14ac:dyDescent="0.3">
      <c r="C238" s="12"/>
    </row>
    <row r="239" spans="3:3" ht="15.75" customHeight="1" x14ac:dyDescent="0.3">
      <c r="C239" s="12"/>
    </row>
    <row r="240" spans="3:3" ht="15.75" customHeight="1" x14ac:dyDescent="0.3">
      <c r="C240" s="12"/>
    </row>
    <row r="241" spans="3:3" ht="15.75" customHeight="1" x14ac:dyDescent="0.3">
      <c r="C241" s="12"/>
    </row>
    <row r="242" spans="3:3" ht="15.75" customHeight="1" x14ac:dyDescent="0.3">
      <c r="C242" s="12"/>
    </row>
    <row r="243" spans="3:3" ht="15.75" customHeight="1" x14ac:dyDescent="0.3">
      <c r="C243" s="12"/>
    </row>
    <row r="244" spans="3:3" ht="15.75" customHeight="1" x14ac:dyDescent="0.3">
      <c r="C244" s="12"/>
    </row>
    <row r="245" spans="3:3" ht="15.75" customHeight="1" x14ac:dyDescent="0.3">
      <c r="C245" s="12"/>
    </row>
    <row r="246" spans="3:3" ht="15.75" customHeight="1" x14ac:dyDescent="0.3">
      <c r="C246" s="12"/>
    </row>
    <row r="247" spans="3:3" ht="15.75" customHeight="1" x14ac:dyDescent="0.3">
      <c r="C247" s="12"/>
    </row>
    <row r="248" spans="3:3" ht="15.75" customHeight="1" x14ac:dyDescent="0.3">
      <c r="C248" s="12"/>
    </row>
    <row r="249" spans="3:3" ht="15.75" customHeight="1" x14ac:dyDescent="0.3">
      <c r="C249" s="12"/>
    </row>
    <row r="250" spans="3:3" ht="15.75" customHeight="1" x14ac:dyDescent="0.3">
      <c r="C250" s="12"/>
    </row>
    <row r="251" spans="3:3" ht="15.75" customHeight="1" x14ac:dyDescent="0.3">
      <c r="C251" s="12"/>
    </row>
    <row r="252" spans="3:3" ht="15.75" customHeight="1" x14ac:dyDescent="0.3">
      <c r="C252" s="12"/>
    </row>
    <row r="253" spans="3:3" ht="15.75" customHeight="1" x14ac:dyDescent="0.3">
      <c r="C253" s="12"/>
    </row>
    <row r="254" spans="3:3" ht="15.75" customHeight="1" x14ac:dyDescent="0.3">
      <c r="C254" s="12"/>
    </row>
    <row r="255" spans="3:3" ht="15.75" customHeight="1" x14ac:dyDescent="0.3">
      <c r="C255" s="12"/>
    </row>
    <row r="256" spans="3:3" ht="15.75" customHeight="1" x14ac:dyDescent="0.3">
      <c r="C256" s="12"/>
    </row>
    <row r="257" spans="3:3" ht="15.75" customHeight="1" x14ac:dyDescent="0.3">
      <c r="C257" s="12"/>
    </row>
    <row r="258" spans="3:3" ht="15.75" customHeight="1" x14ac:dyDescent="0.3">
      <c r="C258" s="12"/>
    </row>
    <row r="259" spans="3:3" ht="15.75" customHeight="1" x14ac:dyDescent="0.3">
      <c r="C259" s="12"/>
    </row>
    <row r="260" spans="3:3" ht="15.75" customHeight="1" x14ac:dyDescent="0.3">
      <c r="C260" s="12"/>
    </row>
    <row r="261" spans="3:3" ht="15.75" customHeight="1" x14ac:dyDescent="0.3">
      <c r="C261" s="12"/>
    </row>
    <row r="262" spans="3:3" ht="15.75" customHeight="1" x14ac:dyDescent="0.3">
      <c r="C262" s="12"/>
    </row>
    <row r="263" spans="3:3" ht="15.75" customHeight="1" x14ac:dyDescent="0.3">
      <c r="C263" s="12"/>
    </row>
    <row r="264" spans="3:3" ht="15.75" customHeight="1" x14ac:dyDescent="0.3">
      <c r="C264" s="12"/>
    </row>
    <row r="265" spans="3:3" ht="15.75" customHeight="1" x14ac:dyDescent="0.3">
      <c r="C265" s="12"/>
    </row>
    <row r="266" spans="3:3" ht="15.75" customHeight="1" x14ac:dyDescent="0.3">
      <c r="C266" s="12"/>
    </row>
    <row r="267" spans="3:3" ht="15.75" customHeight="1" x14ac:dyDescent="0.3">
      <c r="C267" s="12"/>
    </row>
    <row r="268" spans="3:3" ht="15.75" customHeight="1" x14ac:dyDescent="0.3">
      <c r="C268" s="12"/>
    </row>
    <row r="269" spans="3:3" ht="15.75" customHeight="1" x14ac:dyDescent="0.3">
      <c r="C269" s="12"/>
    </row>
    <row r="270" spans="3:3" ht="15.75" customHeight="1" x14ac:dyDescent="0.3">
      <c r="C270" s="12"/>
    </row>
    <row r="271" spans="3:3" ht="15.75" customHeight="1" x14ac:dyDescent="0.3">
      <c r="C271" s="12"/>
    </row>
    <row r="272" spans="3:3" ht="15.75" customHeight="1" x14ac:dyDescent="0.3">
      <c r="C272" s="12"/>
    </row>
    <row r="273" spans="3:3" ht="15.75" customHeight="1" x14ac:dyDescent="0.3">
      <c r="C273" s="12"/>
    </row>
    <row r="274" spans="3:3" ht="15.75" customHeight="1" x14ac:dyDescent="0.3">
      <c r="C274" s="12"/>
    </row>
    <row r="275" spans="3:3" ht="15.75" customHeight="1" x14ac:dyDescent="0.3">
      <c r="C275" s="12"/>
    </row>
    <row r="276" spans="3:3" ht="15.75" customHeight="1" x14ac:dyDescent="0.3">
      <c r="C276" s="12"/>
    </row>
    <row r="277" spans="3:3" ht="15.75" customHeight="1" x14ac:dyDescent="0.3">
      <c r="C277" s="12"/>
    </row>
    <row r="278" spans="3:3" ht="15.75" customHeight="1" x14ac:dyDescent="0.3">
      <c r="C278" s="12"/>
    </row>
    <row r="279" spans="3:3" ht="15.75" customHeight="1" x14ac:dyDescent="0.3">
      <c r="C279" s="12"/>
    </row>
    <row r="280" spans="3:3" ht="15.75" customHeight="1" x14ac:dyDescent="0.3">
      <c r="C280" s="12"/>
    </row>
    <row r="281" spans="3:3" ht="15.75" customHeight="1" x14ac:dyDescent="0.3">
      <c r="C281" s="12"/>
    </row>
    <row r="282" spans="3:3" ht="15.75" customHeight="1" x14ac:dyDescent="0.3">
      <c r="C282" s="12"/>
    </row>
    <row r="283" spans="3:3" ht="15.75" customHeight="1" x14ac:dyDescent="0.3">
      <c r="C283" s="12"/>
    </row>
    <row r="284" spans="3:3" ht="15.75" customHeight="1" x14ac:dyDescent="0.3">
      <c r="C284" s="12"/>
    </row>
    <row r="285" spans="3:3" ht="15.75" customHeight="1" x14ac:dyDescent="0.3">
      <c r="C285" s="12"/>
    </row>
    <row r="286" spans="3:3" ht="15.75" customHeight="1" x14ac:dyDescent="0.3">
      <c r="C286" s="12"/>
    </row>
    <row r="287" spans="3:3" ht="15.75" customHeight="1" x14ac:dyDescent="0.3">
      <c r="C287" s="12"/>
    </row>
    <row r="288" spans="3:3" ht="15.75" customHeight="1" x14ac:dyDescent="0.3">
      <c r="C288" s="12"/>
    </row>
    <row r="289" spans="3:3" ht="15.75" customHeight="1" x14ac:dyDescent="0.3">
      <c r="C289" s="12"/>
    </row>
    <row r="290" spans="3:3" ht="15.75" customHeight="1" x14ac:dyDescent="0.3">
      <c r="C290" s="12"/>
    </row>
    <row r="291" spans="3:3" ht="15.75" customHeight="1" x14ac:dyDescent="0.3">
      <c r="C291" s="12"/>
    </row>
    <row r="292" spans="3:3" ht="15.75" customHeight="1" x14ac:dyDescent="0.3">
      <c r="C292" s="12"/>
    </row>
    <row r="293" spans="3:3" ht="15.75" customHeight="1" x14ac:dyDescent="0.3">
      <c r="C293" s="12"/>
    </row>
    <row r="294" spans="3:3" ht="15.75" customHeight="1" x14ac:dyDescent="0.3">
      <c r="C294" s="12"/>
    </row>
    <row r="295" spans="3:3" ht="15.75" customHeight="1" x14ac:dyDescent="0.3">
      <c r="C295" s="12"/>
    </row>
    <row r="296" spans="3:3" ht="15.75" customHeight="1" x14ac:dyDescent="0.3">
      <c r="C296" s="12"/>
    </row>
    <row r="297" spans="3:3" ht="15.75" customHeight="1" x14ac:dyDescent="0.3">
      <c r="C297" s="12"/>
    </row>
    <row r="298" spans="3:3" ht="15.75" customHeight="1" x14ac:dyDescent="0.3">
      <c r="C298" s="12"/>
    </row>
    <row r="299" spans="3:3" ht="15.75" customHeight="1" x14ac:dyDescent="0.3">
      <c r="C299" s="12"/>
    </row>
    <row r="300" spans="3:3" ht="15.75" customHeight="1" x14ac:dyDescent="0.3">
      <c r="C300" s="12"/>
    </row>
    <row r="301" spans="3:3" ht="15.75" customHeight="1" x14ac:dyDescent="0.3">
      <c r="C301" s="12"/>
    </row>
    <row r="302" spans="3:3" ht="15.75" customHeight="1" x14ac:dyDescent="0.3">
      <c r="C302" s="12"/>
    </row>
    <row r="303" spans="3:3" ht="15.75" customHeight="1" x14ac:dyDescent="0.3">
      <c r="C303" s="12"/>
    </row>
    <row r="304" spans="3:3" ht="15.75" customHeight="1" x14ac:dyDescent="0.3">
      <c r="C304" s="12"/>
    </row>
    <row r="305" spans="3:3" ht="15.75" customHeight="1" x14ac:dyDescent="0.3">
      <c r="C305" s="12"/>
    </row>
    <row r="306" spans="3:3" ht="15.75" customHeight="1" x14ac:dyDescent="0.3">
      <c r="C306" s="12"/>
    </row>
    <row r="307" spans="3:3" ht="15.75" customHeight="1" x14ac:dyDescent="0.3">
      <c r="C307" s="12"/>
    </row>
    <row r="308" spans="3:3" ht="15.75" customHeight="1" x14ac:dyDescent="0.3">
      <c r="C308" s="12"/>
    </row>
    <row r="309" spans="3:3" ht="15.75" customHeight="1" x14ac:dyDescent="0.3">
      <c r="C309" s="12"/>
    </row>
    <row r="310" spans="3:3" ht="15.75" customHeight="1" x14ac:dyDescent="0.3">
      <c r="C310" s="12"/>
    </row>
    <row r="311" spans="3:3" ht="15.75" customHeight="1" x14ac:dyDescent="0.3">
      <c r="C311" s="12"/>
    </row>
    <row r="312" spans="3:3" ht="15.75" customHeight="1" x14ac:dyDescent="0.3">
      <c r="C312" s="12"/>
    </row>
    <row r="313" spans="3:3" ht="15.75" customHeight="1" x14ac:dyDescent="0.3">
      <c r="C313" s="12"/>
    </row>
    <row r="314" spans="3:3" ht="15.75" customHeight="1" x14ac:dyDescent="0.3">
      <c r="C314" s="12"/>
    </row>
    <row r="315" spans="3:3" ht="15.75" customHeight="1" x14ac:dyDescent="0.3">
      <c r="C315" s="12"/>
    </row>
    <row r="316" spans="3:3" ht="15.75" customHeight="1" x14ac:dyDescent="0.3">
      <c r="C316" s="12"/>
    </row>
    <row r="317" spans="3:3" ht="15.75" customHeight="1" x14ac:dyDescent="0.3">
      <c r="C317" s="12"/>
    </row>
    <row r="318" spans="3:3" ht="15.75" customHeight="1" x14ac:dyDescent="0.3">
      <c r="C318" s="12"/>
    </row>
    <row r="319" spans="3:3" ht="15.75" customHeight="1" x14ac:dyDescent="0.3">
      <c r="C319" s="12"/>
    </row>
    <row r="320" spans="3:3" ht="15.75" customHeight="1" x14ac:dyDescent="0.3">
      <c r="C320" s="12"/>
    </row>
    <row r="321" spans="3:3" ht="15.75" customHeight="1" x14ac:dyDescent="0.3">
      <c r="C321" s="12"/>
    </row>
    <row r="322" spans="3:3" ht="15.75" customHeight="1" x14ac:dyDescent="0.3">
      <c r="C322" s="12"/>
    </row>
    <row r="323" spans="3:3" ht="15.75" customHeight="1" x14ac:dyDescent="0.3">
      <c r="C323" s="12"/>
    </row>
    <row r="324" spans="3:3" ht="15.75" customHeight="1" x14ac:dyDescent="0.3">
      <c r="C324" s="12"/>
    </row>
    <row r="325" spans="3:3" ht="15.75" customHeight="1" x14ac:dyDescent="0.3">
      <c r="C325" s="12"/>
    </row>
    <row r="326" spans="3:3" ht="15.75" customHeight="1" x14ac:dyDescent="0.3">
      <c r="C326" s="12"/>
    </row>
    <row r="327" spans="3:3" ht="15.75" customHeight="1" x14ac:dyDescent="0.3">
      <c r="C327" s="12"/>
    </row>
    <row r="328" spans="3:3" ht="15.75" customHeight="1" x14ac:dyDescent="0.3">
      <c r="C328" s="12"/>
    </row>
    <row r="329" spans="3:3" ht="15.75" customHeight="1" x14ac:dyDescent="0.3">
      <c r="C329" s="12"/>
    </row>
    <row r="330" spans="3:3" ht="15.75" customHeight="1" x14ac:dyDescent="0.3">
      <c r="C330" s="12"/>
    </row>
    <row r="331" spans="3:3" ht="15.75" customHeight="1" x14ac:dyDescent="0.3">
      <c r="C331" s="12"/>
    </row>
    <row r="332" spans="3:3" ht="15.75" customHeight="1" x14ac:dyDescent="0.3">
      <c r="C332" s="12"/>
    </row>
    <row r="333" spans="3:3" ht="15.75" customHeight="1" x14ac:dyDescent="0.3">
      <c r="C333" s="12"/>
    </row>
    <row r="334" spans="3:3" ht="15.75" customHeight="1" x14ac:dyDescent="0.3">
      <c r="C334" s="12"/>
    </row>
    <row r="335" spans="3:3" ht="15.75" customHeight="1" x14ac:dyDescent="0.3">
      <c r="C335" s="12"/>
    </row>
    <row r="336" spans="3:3" ht="15.75" customHeight="1" x14ac:dyDescent="0.3">
      <c r="C336" s="12"/>
    </row>
    <row r="337" spans="3:3" ht="15.75" customHeight="1" x14ac:dyDescent="0.3">
      <c r="C337" s="12"/>
    </row>
    <row r="338" spans="3:3" ht="15.75" customHeight="1" x14ac:dyDescent="0.3">
      <c r="C338" s="12"/>
    </row>
    <row r="339" spans="3:3" ht="15.75" customHeight="1" x14ac:dyDescent="0.3">
      <c r="C339" s="12"/>
    </row>
    <row r="340" spans="3:3" ht="15.75" customHeight="1" x14ac:dyDescent="0.3">
      <c r="C340" s="12"/>
    </row>
    <row r="341" spans="3:3" ht="15.75" customHeight="1" x14ac:dyDescent="0.3">
      <c r="C341" s="12"/>
    </row>
    <row r="342" spans="3:3" ht="15.75" customHeight="1" x14ac:dyDescent="0.3">
      <c r="C342" s="12"/>
    </row>
    <row r="343" spans="3:3" ht="15.75" customHeight="1" x14ac:dyDescent="0.3">
      <c r="C343" s="12"/>
    </row>
    <row r="344" spans="3:3" ht="15.75" customHeight="1" x14ac:dyDescent="0.3">
      <c r="C344" s="12"/>
    </row>
    <row r="345" spans="3:3" ht="15.75" customHeight="1" x14ac:dyDescent="0.3">
      <c r="C345" s="12"/>
    </row>
    <row r="346" spans="3:3" ht="15.75" customHeight="1" x14ac:dyDescent="0.3">
      <c r="C346" s="12"/>
    </row>
    <row r="347" spans="3:3" ht="15.75" customHeight="1" x14ac:dyDescent="0.3">
      <c r="C347" s="12"/>
    </row>
    <row r="348" spans="3:3" ht="15.75" customHeight="1" x14ac:dyDescent="0.3">
      <c r="C348" s="12"/>
    </row>
    <row r="349" spans="3:3" ht="15.75" customHeight="1" x14ac:dyDescent="0.3">
      <c r="C349" s="12"/>
    </row>
    <row r="350" spans="3:3" ht="15.75" customHeight="1" x14ac:dyDescent="0.3">
      <c r="C350" s="12"/>
    </row>
    <row r="351" spans="3:3" ht="15.75" customHeight="1" x14ac:dyDescent="0.3">
      <c r="C351" s="12"/>
    </row>
    <row r="352" spans="3:3" ht="15.75" customHeight="1" x14ac:dyDescent="0.3">
      <c r="C352" s="12"/>
    </row>
    <row r="353" spans="3:3" ht="15.75" customHeight="1" x14ac:dyDescent="0.3">
      <c r="C353" s="12"/>
    </row>
    <row r="354" spans="3:3" ht="15.75" customHeight="1" x14ac:dyDescent="0.3">
      <c r="C354" s="12"/>
    </row>
    <row r="355" spans="3:3" ht="15.75" customHeight="1" x14ac:dyDescent="0.3">
      <c r="C355" s="12"/>
    </row>
    <row r="356" spans="3:3" ht="15.75" customHeight="1" x14ac:dyDescent="0.3">
      <c r="C356" s="12"/>
    </row>
    <row r="357" spans="3:3" ht="15.75" customHeight="1" x14ac:dyDescent="0.3">
      <c r="C357" s="12"/>
    </row>
    <row r="358" spans="3:3" ht="15.75" customHeight="1" x14ac:dyDescent="0.3">
      <c r="C358" s="12"/>
    </row>
    <row r="359" spans="3:3" ht="15.75" customHeight="1" x14ac:dyDescent="0.3">
      <c r="C359" s="12"/>
    </row>
    <row r="360" spans="3:3" ht="15.75" customHeight="1" x14ac:dyDescent="0.3">
      <c r="C360" s="12"/>
    </row>
    <row r="361" spans="3:3" ht="15.75" customHeight="1" x14ac:dyDescent="0.3">
      <c r="C361" s="12"/>
    </row>
    <row r="362" spans="3:3" ht="15.75" customHeight="1" x14ac:dyDescent="0.3">
      <c r="C362" s="12"/>
    </row>
    <row r="363" spans="3:3" ht="15.75" customHeight="1" x14ac:dyDescent="0.3">
      <c r="C363" s="12"/>
    </row>
    <row r="364" spans="3:3" ht="15.75" customHeight="1" x14ac:dyDescent="0.3">
      <c r="C364" s="12"/>
    </row>
    <row r="365" spans="3:3" ht="15.75" customHeight="1" x14ac:dyDescent="0.3">
      <c r="C365" s="12"/>
    </row>
    <row r="366" spans="3:3" ht="15.75" customHeight="1" x14ac:dyDescent="0.3">
      <c r="C366" s="12"/>
    </row>
    <row r="367" spans="3:3" ht="15.75" customHeight="1" x14ac:dyDescent="0.3">
      <c r="C367" s="12"/>
    </row>
    <row r="368" spans="3:3" ht="15.75" customHeight="1" x14ac:dyDescent="0.3">
      <c r="C368" s="12"/>
    </row>
    <row r="369" spans="3:3" ht="15.75" customHeight="1" x14ac:dyDescent="0.3">
      <c r="C369" s="12"/>
    </row>
    <row r="370" spans="3:3" ht="15.75" customHeight="1" x14ac:dyDescent="0.3">
      <c r="C370" s="12"/>
    </row>
    <row r="371" spans="3:3" ht="15.75" customHeight="1" x14ac:dyDescent="0.3">
      <c r="C371" s="12"/>
    </row>
    <row r="372" spans="3:3" ht="15.75" customHeight="1" x14ac:dyDescent="0.3">
      <c r="C372" s="12"/>
    </row>
    <row r="373" spans="3:3" ht="15.75" customHeight="1" x14ac:dyDescent="0.3">
      <c r="C373" s="12"/>
    </row>
    <row r="374" spans="3:3" ht="15.75" customHeight="1" x14ac:dyDescent="0.3">
      <c r="C374" s="12"/>
    </row>
    <row r="375" spans="3:3" ht="15.75" customHeight="1" x14ac:dyDescent="0.3">
      <c r="C375" s="12"/>
    </row>
    <row r="376" spans="3:3" ht="15.75" customHeight="1" x14ac:dyDescent="0.3">
      <c r="C376" s="12"/>
    </row>
    <row r="377" spans="3:3" ht="15.75" customHeight="1" x14ac:dyDescent="0.3">
      <c r="C377" s="12"/>
    </row>
    <row r="378" spans="3:3" ht="15.75" customHeight="1" x14ac:dyDescent="0.3">
      <c r="C378" s="12"/>
    </row>
    <row r="379" spans="3:3" ht="15.75" customHeight="1" x14ac:dyDescent="0.3">
      <c r="C379" s="12"/>
    </row>
    <row r="380" spans="3:3" ht="15.75" customHeight="1" x14ac:dyDescent="0.3">
      <c r="C380" s="12"/>
    </row>
    <row r="381" spans="3:3" ht="15.75" customHeight="1" x14ac:dyDescent="0.3">
      <c r="C381" s="12"/>
    </row>
    <row r="382" spans="3:3" ht="15.75" customHeight="1" x14ac:dyDescent="0.3">
      <c r="C382" s="12"/>
    </row>
    <row r="383" spans="3:3" ht="15.75" customHeight="1" x14ac:dyDescent="0.3">
      <c r="C383" s="12"/>
    </row>
    <row r="384" spans="3:3" ht="15.75" customHeight="1" x14ac:dyDescent="0.3">
      <c r="C384" s="12"/>
    </row>
    <row r="385" spans="3:3" ht="15.75" customHeight="1" x14ac:dyDescent="0.3">
      <c r="C385" s="12"/>
    </row>
    <row r="386" spans="3:3" ht="15.75" customHeight="1" x14ac:dyDescent="0.3">
      <c r="C386" s="12"/>
    </row>
    <row r="387" spans="3:3" ht="15.75" customHeight="1" x14ac:dyDescent="0.3">
      <c r="C387" s="12"/>
    </row>
    <row r="388" spans="3:3" ht="15.75" customHeight="1" x14ac:dyDescent="0.3">
      <c r="C388" s="12"/>
    </row>
    <row r="389" spans="3:3" ht="15.75" customHeight="1" x14ac:dyDescent="0.3">
      <c r="C389" s="12"/>
    </row>
    <row r="390" spans="3:3" ht="15.75" customHeight="1" x14ac:dyDescent="0.3">
      <c r="C390" s="12"/>
    </row>
    <row r="391" spans="3:3" ht="15.75" customHeight="1" x14ac:dyDescent="0.3">
      <c r="C391" s="12"/>
    </row>
    <row r="392" spans="3:3" ht="15.75" customHeight="1" x14ac:dyDescent="0.3">
      <c r="C392" s="12"/>
    </row>
    <row r="393" spans="3:3" ht="15.75" customHeight="1" x14ac:dyDescent="0.3">
      <c r="C393" s="12"/>
    </row>
    <row r="394" spans="3:3" ht="15.75" customHeight="1" x14ac:dyDescent="0.3">
      <c r="C394" s="12"/>
    </row>
    <row r="395" spans="3:3" ht="15.75" customHeight="1" x14ac:dyDescent="0.3">
      <c r="C395" s="12"/>
    </row>
    <row r="396" spans="3:3" ht="15.75" customHeight="1" x14ac:dyDescent="0.3">
      <c r="C396" s="12"/>
    </row>
    <row r="397" spans="3:3" ht="15.75" customHeight="1" x14ac:dyDescent="0.3">
      <c r="C397" s="12"/>
    </row>
    <row r="398" spans="3:3" ht="15.75" customHeight="1" x14ac:dyDescent="0.3">
      <c r="C398" s="12"/>
    </row>
    <row r="399" spans="3:3" ht="15.75" customHeight="1" x14ac:dyDescent="0.3">
      <c r="C399" s="12"/>
    </row>
    <row r="400" spans="3:3" ht="15.75" customHeight="1" x14ac:dyDescent="0.3">
      <c r="C400" s="12"/>
    </row>
    <row r="401" spans="3:3" ht="15.75" customHeight="1" x14ac:dyDescent="0.3">
      <c r="C401" s="12"/>
    </row>
    <row r="402" spans="3:3" ht="15.75" customHeight="1" x14ac:dyDescent="0.3">
      <c r="C402" s="12"/>
    </row>
    <row r="403" spans="3:3" ht="15.75" customHeight="1" x14ac:dyDescent="0.3">
      <c r="C403" s="12"/>
    </row>
    <row r="404" spans="3:3" ht="15.75" customHeight="1" x14ac:dyDescent="0.3">
      <c r="C404" s="12"/>
    </row>
    <row r="405" spans="3:3" ht="15.75" customHeight="1" x14ac:dyDescent="0.3">
      <c r="C405" s="12"/>
    </row>
    <row r="406" spans="3:3" ht="15.75" customHeight="1" x14ac:dyDescent="0.3">
      <c r="C406" s="12"/>
    </row>
    <row r="407" spans="3:3" ht="15.75" customHeight="1" x14ac:dyDescent="0.3">
      <c r="C407" s="12"/>
    </row>
    <row r="408" spans="3:3" ht="15.75" customHeight="1" x14ac:dyDescent="0.3">
      <c r="C408" s="12"/>
    </row>
    <row r="409" spans="3:3" ht="15.75" customHeight="1" x14ac:dyDescent="0.3">
      <c r="C409" s="12"/>
    </row>
    <row r="410" spans="3:3" ht="15.75" customHeight="1" x14ac:dyDescent="0.3">
      <c r="C410" s="12"/>
    </row>
    <row r="411" spans="3:3" ht="15.75" customHeight="1" x14ac:dyDescent="0.3">
      <c r="C411" s="12"/>
    </row>
    <row r="412" spans="3:3" ht="15.75" customHeight="1" x14ac:dyDescent="0.3">
      <c r="C412" s="12"/>
    </row>
    <row r="413" spans="3:3" ht="15.75" customHeight="1" x14ac:dyDescent="0.3">
      <c r="C413" s="12"/>
    </row>
    <row r="414" spans="3:3" ht="15.75" customHeight="1" x14ac:dyDescent="0.3">
      <c r="C414" s="12"/>
    </row>
    <row r="415" spans="3:3" ht="15.75" customHeight="1" x14ac:dyDescent="0.3">
      <c r="C415" s="12"/>
    </row>
    <row r="416" spans="3:3" ht="15.75" customHeight="1" x14ac:dyDescent="0.3">
      <c r="C416" s="12"/>
    </row>
    <row r="417" spans="3:3" ht="15.75" customHeight="1" x14ac:dyDescent="0.3">
      <c r="C417" s="12"/>
    </row>
    <row r="418" spans="3:3" ht="15.75" customHeight="1" x14ac:dyDescent="0.3">
      <c r="C418" s="12"/>
    </row>
    <row r="419" spans="3:3" ht="15.75" customHeight="1" x14ac:dyDescent="0.3">
      <c r="C419" s="12"/>
    </row>
    <row r="420" spans="3:3" ht="15.75" customHeight="1" x14ac:dyDescent="0.3">
      <c r="C420" s="12"/>
    </row>
    <row r="421" spans="3:3" ht="15.75" customHeight="1" x14ac:dyDescent="0.3">
      <c r="C421" s="12"/>
    </row>
    <row r="422" spans="3:3" ht="15.75" customHeight="1" x14ac:dyDescent="0.3">
      <c r="C422" s="12"/>
    </row>
    <row r="423" spans="3:3" ht="15.75" customHeight="1" x14ac:dyDescent="0.3">
      <c r="C423" s="12"/>
    </row>
    <row r="424" spans="3:3" ht="15.75" customHeight="1" x14ac:dyDescent="0.3">
      <c r="C424" s="12"/>
    </row>
    <row r="425" spans="3:3" ht="15.75" customHeight="1" x14ac:dyDescent="0.3">
      <c r="C425" s="12"/>
    </row>
    <row r="426" spans="3:3" ht="15.75" customHeight="1" x14ac:dyDescent="0.3">
      <c r="C426" s="12"/>
    </row>
    <row r="427" spans="3:3" ht="15.75" customHeight="1" x14ac:dyDescent="0.3">
      <c r="C427" s="12"/>
    </row>
    <row r="428" spans="3:3" ht="15.75" customHeight="1" x14ac:dyDescent="0.3">
      <c r="C428" s="12"/>
    </row>
    <row r="429" spans="3:3" ht="15.75" customHeight="1" x14ac:dyDescent="0.3">
      <c r="C429" s="12"/>
    </row>
    <row r="430" spans="3:3" ht="15.75" customHeight="1" x14ac:dyDescent="0.3">
      <c r="C430" s="12"/>
    </row>
    <row r="431" spans="3:3" ht="15.75" customHeight="1" x14ac:dyDescent="0.3">
      <c r="C431" s="12"/>
    </row>
    <row r="432" spans="3:3" ht="15.75" customHeight="1" x14ac:dyDescent="0.3">
      <c r="C432" s="12"/>
    </row>
    <row r="433" spans="3:3" ht="15.75" customHeight="1" x14ac:dyDescent="0.3">
      <c r="C433" s="12"/>
    </row>
    <row r="434" spans="3:3" ht="15.75" customHeight="1" x14ac:dyDescent="0.3">
      <c r="C434" s="12"/>
    </row>
    <row r="435" spans="3:3" ht="15.75" customHeight="1" x14ac:dyDescent="0.3">
      <c r="C435" s="12"/>
    </row>
    <row r="436" spans="3:3" ht="15.75" customHeight="1" x14ac:dyDescent="0.3">
      <c r="C436" s="12"/>
    </row>
    <row r="437" spans="3:3" ht="15.75" customHeight="1" x14ac:dyDescent="0.3">
      <c r="C437" s="12"/>
    </row>
    <row r="438" spans="3:3" ht="15.75" customHeight="1" x14ac:dyDescent="0.3">
      <c r="C438" s="12"/>
    </row>
    <row r="439" spans="3:3" ht="15.75" customHeight="1" x14ac:dyDescent="0.3">
      <c r="C439" s="12"/>
    </row>
    <row r="440" spans="3:3" ht="15.75" customHeight="1" x14ac:dyDescent="0.3">
      <c r="C440" s="12"/>
    </row>
    <row r="441" spans="3:3" ht="15.75" customHeight="1" x14ac:dyDescent="0.3">
      <c r="C441" s="12"/>
    </row>
    <row r="442" spans="3:3" ht="15.75" customHeight="1" x14ac:dyDescent="0.3">
      <c r="C442" s="12"/>
    </row>
    <row r="443" spans="3:3" ht="15.75" customHeight="1" x14ac:dyDescent="0.3">
      <c r="C443" s="12"/>
    </row>
    <row r="444" spans="3:3" ht="15.75" customHeight="1" x14ac:dyDescent="0.3">
      <c r="C444" s="12"/>
    </row>
    <row r="445" spans="3:3" ht="15.75" customHeight="1" x14ac:dyDescent="0.3">
      <c r="C445" s="12"/>
    </row>
    <row r="446" spans="3:3" ht="15.75" customHeight="1" x14ac:dyDescent="0.3">
      <c r="C446" s="12"/>
    </row>
    <row r="447" spans="3:3" ht="15.75" customHeight="1" x14ac:dyDescent="0.3">
      <c r="C447" s="12"/>
    </row>
    <row r="448" spans="3:3" ht="15.75" customHeight="1" x14ac:dyDescent="0.3">
      <c r="C448" s="12"/>
    </row>
    <row r="449" spans="3:3" ht="15.75" customHeight="1" x14ac:dyDescent="0.3">
      <c r="C449" s="12"/>
    </row>
    <row r="450" spans="3:3" ht="15.75" customHeight="1" x14ac:dyDescent="0.3">
      <c r="C450" s="12"/>
    </row>
    <row r="451" spans="3:3" ht="15.75" customHeight="1" x14ac:dyDescent="0.3">
      <c r="C451" s="12"/>
    </row>
    <row r="452" spans="3:3" ht="15.75" customHeight="1" x14ac:dyDescent="0.3">
      <c r="C452" s="12"/>
    </row>
    <row r="453" spans="3:3" ht="15.75" customHeight="1" x14ac:dyDescent="0.3">
      <c r="C453" s="12"/>
    </row>
    <row r="454" spans="3:3" ht="15.75" customHeight="1" x14ac:dyDescent="0.3">
      <c r="C454" s="12"/>
    </row>
    <row r="455" spans="3:3" ht="15.75" customHeight="1" x14ac:dyDescent="0.3">
      <c r="C455" s="12"/>
    </row>
    <row r="456" spans="3:3" ht="15.75" customHeight="1" x14ac:dyDescent="0.3">
      <c r="C456" s="12"/>
    </row>
    <row r="457" spans="3:3" ht="15.75" customHeight="1" x14ac:dyDescent="0.3">
      <c r="C457" s="12"/>
    </row>
    <row r="458" spans="3:3" ht="15.75" customHeight="1" x14ac:dyDescent="0.3">
      <c r="C458" s="12"/>
    </row>
    <row r="459" spans="3:3" ht="15.75" customHeight="1" x14ac:dyDescent="0.3">
      <c r="C459" s="12"/>
    </row>
    <row r="460" spans="3:3" ht="15.75" customHeight="1" x14ac:dyDescent="0.3">
      <c r="C460" s="12"/>
    </row>
    <row r="461" spans="3:3" ht="15.75" customHeight="1" x14ac:dyDescent="0.3">
      <c r="C461" s="12"/>
    </row>
    <row r="462" spans="3:3" ht="15.75" customHeight="1" x14ac:dyDescent="0.3">
      <c r="C462" s="12"/>
    </row>
    <row r="463" spans="3:3" ht="15.75" customHeight="1" x14ac:dyDescent="0.3">
      <c r="C463" s="12"/>
    </row>
    <row r="464" spans="3:3" ht="15.75" customHeight="1" x14ac:dyDescent="0.3">
      <c r="C464" s="12"/>
    </row>
    <row r="465" spans="3:3" ht="15.75" customHeight="1" x14ac:dyDescent="0.3">
      <c r="C465" s="12"/>
    </row>
    <row r="466" spans="3:3" ht="15.75" customHeight="1" x14ac:dyDescent="0.3">
      <c r="C466" s="12"/>
    </row>
    <row r="467" spans="3:3" ht="15.75" customHeight="1" x14ac:dyDescent="0.3">
      <c r="C467" s="12"/>
    </row>
    <row r="468" spans="3:3" ht="15.75" customHeight="1" x14ac:dyDescent="0.3">
      <c r="C468" s="12"/>
    </row>
    <row r="469" spans="3:3" ht="15.75" customHeight="1" x14ac:dyDescent="0.3">
      <c r="C469" s="12"/>
    </row>
    <row r="470" spans="3:3" ht="15.75" customHeight="1" x14ac:dyDescent="0.3">
      <c r="C470" s="12"/>
    </row>
    <row r="471" spans="3:3" ht="15.75" customHeight="1" x14ac:dyDescent="0.3">
      <c r="C471" s="12"/>
    </row>
    <row r="472" spans="3:3" ht="15.75" customHeight="1" x14ac:dyDescent="0.3">
      <c r="C472" s="12"/>
    </row>
    <row r="473" spans="3:3" ht="15.75" customHeight="1" x14ac:dyDescent="0.3">
      <c r="C473" s="12"/>
    </row>
    <row r="474" spans="3:3" ht="15.75" customHeight="1" x14ac:dyDescent="0.3">
      <c r="C474" s="12"/>
    </row>
    <row r="475" spans="3:3" ht="15.75" customHeight="1" x14ac:dyDescent="0.3">
      <c r="C475" s="12"/>
    </row>
    <row r="476" spans="3:3" ht="15.75" customHeight="1" x14ac:dyDescent="0.3">
      <c r="C476" s="12"/>
    </row>
    <row r="477" spans="3:3" ht="15.75" customHeight="1" x14ac:dyDescent="0.3">
      <c r="C477" s="12"/>
    </row>
    <row r="478" spans="3:3" ht="15.75" customHeight="1" x14ac:dyDescent="0.3">
      <c r="C478" s="12"/>
    </row>
    <row r="479" spans="3:3" ht="15.75" customHeight="1" x14ac:dyDescent="0.3">
      <c r="C479" s="12"/>
    </row>
    <row r="480" spans="3:3" ht="15.75" customHeight="1" x14ac:dyDescent="0.3">
      <c r="C480" s="12"/>
    </row>
    <row r="481" spans="3:3" ht="15.75" customHeight="1" x14ac:dyDescent="0.3">
      <c r="C481" s="12"/>
    </row>
    <row r="482" spans="3:3" ht="15.75" customHeight="1" x14ac:dyDescent="0.3">
      <c r="C482" s="12"/>
    </row>
    <row r="483" spans="3:3" ht="15.75" customHeight="1" x14ac:dyDescent="0.3">
      <c r="C483" s="12"/>
    </row>
    <row r="484" spans="3:3" ht="15.75" customHeight="1" x14ac:dyDescent="0.3">
      <c r="C484" s="12"/>
    </row>
    <row r="485" spans="3:3" ht="15.75" customHeight="1" x14ac:dyDescent="0.3">
      <c r="C485" s="12"/>
    </row>
    <row r="486" spans="3:3" ht="15.75" customHeight="1" x14ac:dyDescent="0.3">
      <c r="C486" s="12"/>
    </row>
    <row r="487" spans="3:3" ht="15.75" customHeight="1" x14ac:dyDescent="0.3">
      <c r="C487" s="12"/>
    </row>
    <row r="488" spans="3:3" ht="15.75" customHeight="1" x14ac:dyDescent="0.3">
      <c r="C488" s="12"/>
    </row>
    <row r="489" spans="3:3" ht="15.75" customHeight="1" x14ac:dyDescent="0.3">
      <c r="C489" s="12"/>
    </row>
    <row r="490" spans="3:3" ht="15.75" customHeight="1" x14ac:dyDescent="0.3">
      <c r="C490" s="12"/>
    </row>
    <row r="491" spans="3:3" ht="15.75" customHeight="1" x14ac:dyDescent="0.3">
      <c r="C491" s="12"/>
    </row>
    <row r="492" spans="3:3" ht="15.75" customHeight="1" x14ac:dyDescent="0.3">
      <c r="C492" s="12"/>
    </row>
    <row r="493" spans="3:3" ht="15.75" customHeight="1" x14ac:dyDescent="0.3">
      <c r="C493" s="12"/>
    </row>
    <row r="494" spans="3:3" ht="15.75" customHeight="1" x14ac:dyDescent="0.3">
      <c r="C494" s="12"/>
    </row>
    <row r="495" spans="3:3" ht="15.75" customHeight="1" x14ac:dyDescent="0.3">
      <c r="C495" s="12"/>
    </row>
    <row r="496" spans="3:3" ht="15.75" customHeight="1" x14ac:dyDescent="0.3">
      <c r="C496" s="12"/>
    </row>
    <row r="497" spans="3:3" ht="15.75" customHeight="1" x14ac:dyDescent="0.3">
      <c r="C497" s="12"/>
    </row>
    <row r="498" spans="3:3" ht="15.75" customHeight="1" x14ac:dyDescent="0.3">
      <c r="C498" s="12"/>
    </row>
    <row r="499" spans="3:3" ht="15.75" customHeight="1" x14ac:dyDescent="0.3">
      <c r="C499" s="12"/>
    </row>
    <row r="500" spans="3:3" ht="15.75" customHeight="1" x14ac:dyDescent="0.3">
      <c r="C500" s="12"/>
    </row>
    <row r="501" spans="3:3" ht="15.75" customHeight="1" x14ac:dyDescent="0.3">
      <c r="C501" s="12"/>
    </row>
    <row r="502" spans="3:3" ht="15.75" customHeight="1" x14ac:dyDescent="0.3">
      <c r="C502" s="12"/>
    </row>
    <row r="503" spans="3:3" ht="15.75" customHeight="1" x14ac:dyDescent="0.3">
      <c r="C503" s="12"/>
    </row>
    <row r="504" spans="3:3" ht="15.75" customHeight="1" x14ac:dyDescent="0.3">
      <c r="C504" s="12"/>
    </row>
    <row r="505" spans="3:3" ht="15.75" customHeight="1" x14ac:dyDescent="0.3">
      <c r="C505" s="12"/>
    </row>
    <row r="506" spans="3:3" ht="15.75" customHeight="1" x14ac:dyDescent="0.3">
      <c r="C506" s="12"/>
    </row>
    <row r="507" spans="3:3" ht="15.75" customHeight="1" x14ac:dyDescent="0.3">
      <c r="C507" s="12"/>
    </row>
    <row r="508" spans="3:3" ht="15.75" customHeight="1" x14ac:dyDescent="0.3">
      <c r="C508" s="12"/>
    </row>
    <row r="509" spans="3:3" ht="15.75" customHeight="1" x14ac:dyDescent="0.3">
      <c r="C509" s="12"/>
    </row>
    <row r="510" spans="3:3" ht="15.75" customHeight="1" x14ac:dyDescent="0.3">
      <c r="C510" s="12"/>
    </row>
    <row r="511" spans="3:3" ht="15.75" customHeight="1" x14ac:dyDescent="0.3">
      <c r="C511" s="12"/>
    </row>
    <row r="512" spans="3:3" ht="15.75" customHeight="1" x14ac:dyDescent="0.3">
      <c r="C512" s="12"/>
    </row>
    <row r="513" spans="3:3" ht="15.75" customHeight="1" x14ac:dyDescent="0.3">
      <c r="C513" s="12"/>
    </row>
    <row r="514" spans="3:3" ht="15.75" customHeight="1" x14ac:dyDescent="0.3">
      <c r="C514" s="12"/>
    </row>
    <row r="515" spans="3:3" ht="15.75" customHeight="1" x14ac:dyDescent="0.3">
      <c r="C515" s="12"/>
    </row>
    <row r="516" spans="3:3" ht="15.75" customHeight="1" x14ac:dyDescent="0.3">
      <c r="C516" s="12"/>
    </row>
    <row r="517" spans="3:3" ht="15.75" customHeight="1" x14ac:dyDescent="0.3">
      <c r="C517" s="12"/>
    </row>
    <row r="518" spans="3:3" ht="15.75" customHeight="1" x14ac:dyDescent="0.3">
      <c r="C518" s="12"/>
    </row>
    <row r="519" spans="3:3" ht="15.75" customHeight="1" x14ac:dyDescent="0.3">
      <c r="C519" s="12"/>
    </row>
    <row r="520" spans="3:3" ht="15.75" customHeight="1" x14ac:dyDescent="0.3">
      <c r="C520" s="12"/>
    </row>
    <row r="521" spans="3:3" ht="15.75" customHeight="1" x14ac:dyDescent="0.3">
      <c r="C521" s="12"/>
    </row>
    <row r="522" spans="3:3" ht="15.75" customHeight="1" x14ac:dyDescent="0.3">
      <c r="C522" s="12"/>
    </row>
    <row r="523" spans="3:3" ht="15.75" customHeight="1" x14ac:dyDescent="0.3">
      <c r="C523" s="12"/>
    </row>
    <row r="524" spans="3:3" ht="15.75" customHeight="1" x14ac:dyDescent="0.3">
      <c r="C524" s="12"/>
    </row>
    <row r="525" spans="3:3" ht="15.75" customHeight="1" x14ac:dyDescent="0.3">
      <c r="C525" s="12"/>
    </row>
    <row r="526" spans="3:3" ht="15.75" customHeight="1" x14ac:dyDescent="0.3">
      <c r="C526" s="12"/>
    </row>
    <row r="527" spans="3:3" ht="15.75" customHeight="1" x14ac:dyDescent="0.3">
      <c r="C527" s="12"/>
    </row>
    <row r="528" spans="3:3" ht="15.75" customHeight="1" x14ac:dyDescent="0.3">
      <c r="C528" s="12"/>
    </row>
    <row r="529" spans="3:3" ht="15.75" customHeight="1" x14ac:dyDescent="0.3">
      <c r="C529" s="12"/>
    </row>
    <row r="530" spans="3:3" ht="15.75" customHeight="1" x14ac:dyDescent="0.3">
      <c r="C530" s="12"/>
    </row>
    <row r="531" spans="3:3" ht="15.75" customHeight="1" x14ac:dyDescent="0.3">
      <c r="C531" s="12"/>
    </row>
    <row r="532" spans="3:3" ht="15.75" customHeight="1" x14ac:dyDescent="0.3">
      <c r="C532" s="12"/>
    </row>
    <row r="533" spans="3:3" ht="15.75" customHeight="1" x14ac:dyDescent="0.3">
      <c r="C533" s="12"/>
    </row>
    <row r="534" spans="3:3" ht="15.75" customHeight="1" x14ac:dyDescent="0.3">
      <c r="C534" s="12"/>
    </row>
    <row r="535" spans="3:3" ht="15.75" customHeight="1" x14ac:dyDescent="0.3">
      <c r="C535" s="12"/>
    </row>
    <row r="536" spans="3:3" ht="15.75" customHeight="1" x14ac:dyDescent="0.3">
      <c r="C536" s="12"/>
    </row>
    <row r="537" spans="3:3" ht="15.75" customHeight="1" x14ac:dyDescent="0.3">
      <c r="C537" s="12"/>
    </row>
    <row r="538" spans="3:3" ht="15.75" customHeight="1" x14ac:dyDescent="0.3">
      <c r="C538" s="12"/>
    </row>
    <row r="539" spans="3:3" ht="15.75" customHeight="1" x14ac:dyDescent="0.3">
      <c r="C539" s="12"/>
    </row>
    <row r="540" spans="3:3" ht="15.75" customHeight="1" x14ac:dyDescent="0.3">
      <c r="C540" s="12"/>
    </row>
    <row r="541" spans="3:3" ht="15.75" customHeight="1" x14ac:dyDescent="0.3">
      <c r="C541" s="12"/>
    </row>
    <row r="542" spans="3:3" ht="15.75" customHeight="1" x14ac:dyDescent="0.3">
      <c r="C542" s="12"/>
    </row>
    <row r="543" spans="3:3" ht="15.75" customHeight="1" x14ac:dyDescent="0.3">
      <c r="C543" s="12"/>
    </row>
    <row r="544" spans="3:3" ht="15.75" customHeight="1" x14ac:dyDescent="0.3">
      <c r="C544" s="12"/>
    </row>
    <row r="545" spans="3:3" ht="15.75" customHeight="1" x14ac:dyDescent="0.3">
      <c r="C545" s="12"/>
    </row>
    <row r="546" spans="3:3" ht="15.75" customHeight="1" x14ac:dyDescent="0.3">
      <c r="C546" s="12"/>
    </row>
    <row r="547" spans="3:3" ht="15.75" customHeight="1" x14ac:dyDescent="0.3">
      <c r="C547" s="12"/>
    </row>
    <row r="548" spans="3:3" ht="15.75" customHeight="1" x14ac:dyDescent="0.3">
      <c r="C548" s="12"/>
    </row>
    <row r="549" spans="3:3" ht="15.75" customHeight="1" x14ac:dyDescent="0.3">
      <c r="C549" s="12"/>
    </row>
    <row r="550" spans="3:3" ht="15.75" customHeight="1" x14ac:dyDescent="0.3">
      <c r="C550" s="12"/>
    </row>
    <row r="551" spans="3:3" ht="15.75" customHeight="1" x14ac:dyDescent="0.3">
      <c r="C551" s="12"/>
    </row>
    <row r="552" spans="3:3" ht="15.75" customHeight="1" x14ac:dyDescent="0.3">
      <c r="C552" s="12"/>
    </row>
    <row r="553" spans="3:3" ht="15.75" customHeight="1" x14ac:dyDescent="0.3">
      <c r="C553" s="12"/>
    </row>
    <row r="554" spans="3:3" ht="15.75" customHeight="1" x14ac:dyDescent="0.3">
      <c r="C554" s="12"/>
    </row>
    <row r="555" spans="3:3" ht="15.75" customHeight="1" x14ac:dyDescent="0.3">
      <c r="C555" s="12"/>
    </row>
    <row r="556" spans="3:3" ht="15.75" customHeight="1" x14ac:dyDescent="0.3">
      <c r="C556" s="12"/>
    </row>
    <row r="557" spans="3:3" ht="15.75" customHeight="1" x14ac:dyDescent="0.3">
      <c r="C557" s="12"/>
    </row>
    <row r="558" spans="3:3" ht="15.75" customHeight="1" x14ac:dyDescent="0.3">
      <c r="C558" s="12"/>
    </row>
    <row r="559" spans="3:3" ht="15.75" customHeight="1" x14ac:dyDescent="0.3">
      <c r="C559" s="12"/>
    </row>
    <row r="560" spans="3:3" ht="15.75" customHeight="1" x14ac:dyDescent="0.3">
      <c r="C560" s="12"/>
    </row>
    <row r="561" spans="3:3" ht="15.75" customHeight="1" x14ac:dyDescent="0.3">
      <c r="C561" s="12"/>
    </row>
    <row r="562" spans="3:3" ht="15.75" customHeight="1" x14ac:dyDescent="0.3">
      <c r="C562" s="12"/>
    </row>
    <row r="563" spans="3:3" ht="15.75" customHeight="1" x14ac:dyDescent="0.3">
      <c r="C563" s="12"/>
    </row>
    <row r="564" spans="3:3" ht="15.75" customHeight="1" x14ac:dyDescent="0.3">
      <c r="C564" s="12"/>
    </row>
    <row r="565" spans="3:3" ht="15.75" customHeight="1" x14ac:dyDescent="0.3">
      <c r="C565" s="12"/>
    </row>
    <row r="566" spans="3:3" ht="15.75" customHeight="1" x14ac:dyDescent="0.3">
      <c r="C566" s="12"/>
    </row>
    <row r="567" spans="3:3" ht="15.75" customHeight="1" x14ac:dyDescent="0.3">
      <c r="C567" s="12"/>
    </row>
    <row r="568" spans="3:3" ht="15.75" customHeight="1" x14ac:dyDescent="0.3">
      <c r="C568" s="12"/>
    </row>
    <row r="569" spans="3:3" ht="15.75" customHeight="1" x14ac:dyDescent="0.3">
      <c r="C569" s="12"/>
    </row>
    <row r="570" spans="3:3" ht="15.75" customHeight="1" x14ac:dyDescent="0.3">
      <c r="C570" s="12"/>
    </row>
    <row r="571" spans="3:3" ht="15.75" customHeight="1" x14ac:dyDescent="0.3">
      <c r="C571" s="12"/>
    </row>
    <row r="572" spans="3:3" ht="15.75" customHeight="1" x14ac:dyDescent="0.3">
      <c r="C572" s="12"/>
    </row>
    <row r="573" spans="3:3" ht="15.75" customHeight="1" x14ac:dyDescent="0.3">
      <c r="C573" s="12"/>
    </row>
    <row r="574" spans="3:3" ht="15.75" customHeight="1" x14ac:dyDescent="0.3">
      <c r="C574" s="12"/>
    </row>
    <row r="575" spans="3:3" ht="15.75" customHeight="1" x14ac:dyDescent="0.3">
      <c r="C575" s="12"/>
    </row>
    <row r="576" spans="3:3" ht="15.75" customHeight="1" x14ac:dyDescent="0.3">
      <c r="C576" s="12"/>
    </row>
    <row r="577" spans="3:3" ht="15.75" customHeight="1" x14ac:dyDescent="0.3">
      <c r="C577" s="12"/>
    </row>
    <row r="578" spans="3:3" ht="15.75" customHeight="1" x14ac:dyDescent="0.3">
      <c r="C578" s="12"/>
    </row>
    <row r="579" spans="3:3" ht="15.75" customHeight="1" x14ac:dyDescent="0.3">
      <c r="C579" s="12"/>
    </row>
    <row r="580" spans="3:3" ht="15.75" customHeight="1" x14ac:dyDescent="0.3">
      <c r="C580" s="12"/>
    </row>
    <row r="581" spans="3:3" ht="15.75" customHeight="1" x14ac:dyDescent="0.3">
      <c r="C581" s="12"/>
    </row>
    <row r="582" spans="3:3" ht="15.75" customHeight="1" x14ac:dyDescent="0.3">
      <c r="C582" s="12"/>
    </row>
    <row r="583" spans="3:3" ht="15.75" customHeight="1" x14ac:dyDescent="0.3">
      <c r="C583" s="12"/>
    </row>
    <row r="584" spans="3:3" ht="15.75" customHeight="1" x14ac:dyDescent="0.3">
      <c r="C584" s="12"/>
    </row>
    <row r="585" spans="3:3" ht="15.75" customHeight="1" x14ac:dyDescent="0.3">
      <c r="C585" s="12"/>
    </row>
    <row r="586" spans="3:3" ht="15.75" customHeight="1" x14ac:dyDescent="0.3">
      <c r="C586" s="12"/>
    </row>
    <row r="587" spans="3:3" ht="15.75" customHeight="1" x14ac:dyDescent="0.3">
      <c r="C587" s="12"/>
    </row>
    <row r="588" spans="3:3" ht="15.75" customHeight="1" x14ac:dyDescent="0.3">
      <c r="C588" s="12"/>
    </row>
    <row r="589" spans="3:3" ht="15.75" customHeight="1" x14ac:dyDescent="0.3">
      <c r="C589" s="12"/>
    </row>
    <row r="590" spans="3:3" ht="15.75" customHeight="1" x14ac:dyDescent="0.3">
      <c r="C590" s="12"/>
    </row>
    <row r="591" spans="3:3" ht="15.75" customHeight="1" x14ac:dyDescent="0.3">
      <c r="C591" s="12"/>
    </row>
    <row r="592" spans="3:3" ht="15.75" customHeight="1" x14ac:dyDescent="0.3">
      <c r="C592" s="12"/>
    </row>
    <row r="593" spans="3:3" ht="15.75" customHeight="1" x14ac:dyDescent="0.3">
      <c r="C593" s="12"/>
    </row>
    <row r="594" spans="3:3" ht="15.75" customHeight="1" x14ac:dyDescent="0.3">
      <c r="C594" s="12"/>
    </row>
    <row r="595" spans="3:3" ht="15.75" customHeight="1" x14ac:dyDescent="0.3">
      <c r="C595" s="12"/>
    </row>
    <row r="596" spans="3:3" ht="15.75" customHeight="1" x14ac:dyDescent="0.3">
      <c r="C596" s="12"/>
    </row>
    <row r="597" spans="3:3" ht="15.75" customHeight="1" x14ac:dyDescent="0.3">
      <c r="C597" s="12"/>
    </row>
    <row r="598" spans="3:3" ht="15.75" customHeight="1" x14ac:dyDescent="0.3">
      <c r="C598" s="12"/>
    </row>
    <row r="599" spans="3:3" ht="15.75" customHeight="1" x14ac:dyDescent="0.3">
      <c r="C599" s="12"/>
    </row>
    <row r="600" spans="3:3" ht="15.75" customHeight="1" x14ac:dyDescent="0.3">
      <c r="C600" s="12"/>
    </row>
    <row r="601" spans="3:3" ht="15.75" customHeight="1" x14ac:dyDescent="0.3">
      <c r="C601" s="12"/>
    </row>
    <row r="602" spans="3:3" ht="15.75" customHeight="1" x14ac:dyDescent="0.3">
      <c r="C602" s="12"/>
    </row>
    <row r="603" spans="3:3" ht="15.75" customHeight="1" x14ac:dyDescent="0.3">
      <c r="C603" s="12"/>
    </row>
    <row r="604" spans="3:3" ht="15.75" customHeight="1" x14ac:dyDescent="0.3">
      <c r="C604" s="12"/>
    </row>
    <row r="605" spans="3:3" ht="15.75" customHeight="1" x14ac:dyDescent="0.3">
      <c r="C605" s="12"/>
    </row>
    <row r="606" spans="3:3" ht="15.75" customHeight="1" x14ac:dyDescent="0.3">
      <c r="C606" s="12"/>
    </row>
    <row r="607" spans="3:3" ht="15.75" customHeight="1" x14ac:dyDescent="0.3">
      <c r="C607" s="12"/>
    </row>
    <row r="608" spans="3:3" ht="15.75" customHeight="1" x14ac:dyDescent="0.3">
      <c r="C608" s="12"/>
    </row>
    <row r="609" spans="3:3" ht="15.75" customHeight="1" x14ac:dyDescent="0.3">
      <c r="C609" s="12"/>
    </row>
    <row r="610" spans="3:3" ht="15.75" customHeight="1" x14ac:dyDescent="0.3">
      <c r="C610" s="12"/>
    </row>
    <row r="611" spans="3:3" ht="15.75" customHeight="1" x14ac:dyDescent="0.3">
      <c r="C611" s="12"/>
    </row>
    <row r="612" spans="3:3" ht="15.75" customHeight="1" x14ac:dyDescent="0.3">
      <c r="C612" s="12"/>
    </row>
    <row r="613" spans="3:3" ht="15.75" customHeight="1" x14ac:dyDescent="0.3">
      <c r="C613" s="12"/>
    </row>
    <row r="614" spans="3:3" ht="15.75" customHeight="1" x14ac:dyDescent="0.3">
      <c r="C614" s="12"/>
    </row>
    <row r="615" spans="3:3" ht="15.75" customHeight="1" x14ac:dyDescent="0.3">
      <c r="C615" s="12"/>
    </row>
    <row r="616" spans="3:3" ht="15.75" customHeight="1" x14ac:dyDescent="0.3">
      <c r="C616" s="12"/>
    </row>
    <row r="617" spans="3:3" ht="15.75" customHeight="1" x14ac:dyDescent="0.3">
      <c r="C617" s="12"/>
    </row>
    <row r="618" spans="3:3" ht="15.75" customHeight="1" x14ac:dyDescent="0.3">
      <c r="C618" s="12"/>
    </row>
    <row r="619" spans="3:3" ht="15.75" customHeight="1" x14ac:dyDescent="0.3">
      <c r="C619" s="12"/>
    </row>
    <row r="620" spans="3:3" ht="15.75" customHeight="1" x14ac:dyDescent="0.3">
      <c r="C620" s="12"/>
    </row>
    <row r="621" spans="3:3" ht="15.75" customHeight="1" x14ac:dyDescent="0.3">
      <c r="C621" s="12"/>
    </row>
    <row r="622" spans="3:3" ht="15.75" customHeight="1" x14ac:dyDescent="0.3">
      <c r="C622" s="12"/>
    </row>
    <row r="623" spans="3:3" ht="15.75" customHeight="1" x14ac:dyDescent="0.3">
      <c r="C623" s="12"/>
    </row>
    <row r="624" spans="3:3" ht="15.75" customHeight="1" x14ac:dyDescent="0.3">
      <c r="C624" s="12"/>
    </row>
    <row r="625" spans="3:3" ht="15.75" customHeight="1" x14ac:dyDescent="0.3">
      <c r="C625" s="12"/>
    </row>
    <row r="626" spans="3:3" ht="15.75" customHeight="1" x14ac:dyDescent="0.3">
      <c r="C626" s="12"/>
    </row>
    <row r="627" spans="3:3" ht="15.75" customHeight="1" x14ac:dyDescent="0.3">
      <c r="C627" s="12"/>
    </row>
    <row r="628" spans="3:3" ht="15.75" customHeight="1" x14ac:dyDescent="0.3">
      <c r="C628" s="12"/>
    </row>
    <row r="629" spans="3:3" ht="15.75" customHeight="1" x14ac:dyDescent="0.3">
      <c r="C629" s="12"/>
    </row>
    <row r="630" spans="3:3" ht="15.75" customHeight="1" x14ac:dyDescent="0.3">
      <c r="C630" s="12"/>
    </row>
    <row r="631" spans="3:3" ht="15.75" customHeight="1" x14ac:dyDescent="0.3">
      <c r="C631" s="12"/>
    </row>
    <row r="632" spans="3:3" ht="15.75" customHeight="1" x14ac:dyDescent="0.3">
      <c r="C632" s="12"/>
    </row>
    <row r="633" spans="3:3" ht="15.75" customHeight="1" x14ac:dyDescent="0.3">
      <c r="C633" s="12"/>
    </row>
    <row r="634" spans="3:3" ht="15.75" customHeight="1" x14ac:dyDescent="0.3">
      <c r="C634" s="12"/>
    </row>
    <row r="635" spans="3:3" ht="15.75" customHeight="1" x14ac:dyDescent="0.3">
      <c r="C635" s="12"/>
    </row>
    <row r="636" spans="3:3" ht="15.75" customHeight="1" x14ac:dyDescent="0.3">
      <c r="C636" s="12"/>
    </row>
    <row r="637" spans="3:3" ht="15.75" customHeight="1" x14ac:dyDescent="0.3">
      <c r="C637" s="12"/>
    </row>
    <row r="638" spans="3:3" ht="15.75" customHeight="1" x14ac:dyDescent="0.3">
      <c r="C638" s="12"/>
    </row>
    <row r="639" spans="3:3" ht="15.75" customHeight="1" x14ac:dyDescent="0.3">
      <c r="C639" s="12"/>
    </row>
    <row r="640" spans="3:3" ht="15.75" customHeight="1" x14ac:dyDescent="0.3">
      <c r="C640" s="12"/>
    </row>
    <row r="641" spans="3:3" ht="15.75" customHeight="1" x14ac:dyDescent="0.3">
      <c r="C641" s="12"/>
    </row>
    <row r="642" spans="3:3" ht="15.75" customHeight="1" x14ac:dyDescent="0.3">
      <c r="C642" s="12"/>
    </row>
    <row r="643" spans="3:3" ht="15.75" customHeight="1" x14ac:dyDescent="0.3">
      <c r="C643" s="12"/>
    </row>
    <row r="644" spans="3:3" ht="15.75" customHeight="1" x14ac:dyDescent="0.3">
      <c r="C644" s="12"/>
    </row>
    <row r="645" spans="3:3" ht="15.75" customHeight="1" x14ac:dyDescent="0.3">
      <c r="C645" s="12"/>
    </row>
    <row r="646" spans="3:3" ht="15.75" customHeight="1" x14ac:dyDescent="0.3">
      <c r="C646" s="12"/>
    </row>
    <row r="647" spans="3:3" ht="15.75" customHeight="1" x14ac:dyDescent="0.3">
      <c r="C647" s="12"/>
    </row>
    <row r="648" spans="3:3" ht="15.75" customHeight="1" x14ac:dyDescent="0.3">
      <c r="C648" s="12"/>
    </row>
    <row r="649" spans="3:3" ht="15.75" customHeight="1" x14ac:dyDescent="0.3">
      <c r="C649" s="12"/>
    </row>
    <row r="650" spans="3:3" ht="15.75" customHeight="1" x14ac:dyDescent="0.3">
      <c r="C650" s="12"/>
    </row>
    <row r="651" spans="3:3" ht="15.75" customHeight="1" x14ac:dyDescent="0.3">
      <c r="C651" s="12"/>
    </row>
    <row r="652" spans="3:3" ht="15.75" customHeight="1" x14ac:dyDescent="0.3">
      <c r="C652" s="12"/>
    </row>
    <row r="653" spans="3:3" ht="15.75" customHeight="1" x14ac:dyDescent="0.3">
      <c r="C653" s="12"/>
    </row>
    <row r="654" spans="3:3" ht="15.75" customHeight="1" x14ac:dyDescent="0.3">
      <c r="C654" s="12"/>
    </row>
    <row r="655" spans="3:3" ht="15.75" customHeight="1" x14ac:dyDescent="0.3">
      <c r="C655" s="12"/>
    </row>
    <row r="656" spans="3:3" ht="15.75" customHeight="1" x14ac:dyDescent="0.3">
      <c r="C656" s="12"/>
    </row>
    <row r="657" spans="3:3" ht="15.75" customHeight="1" x14ac:dyDescent="0.3">
      <c r="C657" s="12"/>
    </row>
    <row r="658" spans="3:3" ht="15.75" customHeight="1" x14ac:dyDescent="0.3">
      <c r="C658" s="12"/>
    </row>
    <row r="659" spans="3:3" ht="15.75" customHeight="1" x14ac:dyDescent="0.3">
      <c r="C659" s="12"/>
    </row>
    <row r="660" spans="3:3" ht="15.75" customHeight="1" x14ac:dyDescent="0.3">
      <c r="C660" s="12"/>
    </row>
    <row r="661" spans="3:3" ht="15.75" customHeight="1" x14ac:dyDescent="0.3">
      <c r="C661" s="12"/>
    </row>
    <row r="662" spans="3:3" ht="15.75" customHeight="1" x14ac:dyDescent="0.3">
      <c r="C662" s="12"/>
    </row>
    <row r="663" spans="3:3" ht="15.75" customHeight="1" x14ac:dyDescent="0.3">
      <c r="C663" s="12"/>
    </row>
    <row r="664" spans="3:3" ht="15.75" customHeight="1" x14ac:dyDescent="0.3">
      <c r="C664" s="12"/>
    </row>
    <row r="665" spans="3:3" ht="15.75" customHeight="1" x14ac:dyDescent="0.3">
      <c r="C665" s="12"/>
    </row>
    <row r="666" spans="3:3" ht="15.75" customHeight="1" x14ac:dyDescent="0.3">
      <c r="C666" s="12"/>
    </row>
    <row r="667" spans="3:3" ht="15.75" customHeight="1" x14ac:dyDescent="0.3">
      <c r="C667" s="12"/>
    </row>
    <row r="668" spans="3:3" ht="15.75" customHeight="1" x14ac:dyDescent="0.3">
      <c r="C668" s="12"/>
    </row>
    <row r="669" spans="3:3" ht="15.75" customHeight="1" x14ac:dyDescent="0.3">
      <c r="C669" s="12"/>
    </row>
    <row r="670" spans="3:3" ht="15.75" customHeight="1" x14ac:dyDescent="0.3">
      <c r="C670" s="12"/>
    </row>
    <row r="671" spans="3:3" ht="15.75" customHeight="1" x14ac:dyDescent="0.3">
      <c r="C671" s="12"/>
    </row>
    <row r="672" spans="3:3" ht="15.75" customHeight="1" x14ac:dyDescent="0.3">
      <c r="C672" s="12"/>
    </row>
    <row r="673" spans="3:3" ht="15.75" customHeight="1" x14ac:dyDescent="0.3">
      <c r="C673" s="12"/>
    </row>
    <row r="674" spans="3:3" ht="15.75" customHeight="1" x14ac:dyDescent="0.3">
      <c r="C674" s="12"/>
    </row>
    <row r="675" spans="3:3" ht="15.75" customHeight="1" x14ac:dyDescent="0.3">
      <c r="C675" s="12"/>
    </row>
    <row r="676" spans="3:3" ht="15.75" customHeight="1" x14ac:dyDescent="0.3">
      <c r="C676" s="12"/>
    </row>
    <row r="677" spans="3:3" ht="15.75" customHeight="1" x14ac:dyDescent="0.3">
      <c r="C677" s="12"/>
    </row>
    <row r="678" spans="3:3" ht="15.75" customHeight="1" x14ac:dyDescent="0.3">
      <c r="C678" s="12"/>
    </row>
    <row r="679" spans="3:3" ht="15.75" customHeight="1" x14ac:dyDescent="0.3">
      <c r="C679" s="12"/>
    </row>
    <row r="680" spans="3:3" ht="15.75" customHeight="1" x14ac:dyDescent="0.3">
      <c r="C680" s="12"/>
    </row>
    <row r="681" spans="3:3" ht="15.75" customHeight="1" x14ac:dyDescent="0.3">
      <c r="C681" s="12"/>
    </row>
    <row r="682" spans="3:3" ht="15.75" customHeight="1" x14ac:dyDescent="0.3">
      <c r="C682" s="12"/>
    </row>
    <row r="683" spans="3:3" ht="15.75" customHeight="1" x14ac:dyDescent="0.3">
      <c r="C683" s="12"/>
    </row>
    <row r="684" spans="3:3" ht="15.75" customHeight="1" x14ac:dyDescent="0.3">
      <c r="C684" s="12"/>
    </row>
    <row r="685" spans="3:3" ht="15.75" customHeight="1" x14ac:dyDescent="0.3">
      <c r="C685" s="12"/>
    </row>
    <row r="686" spans="3:3" ht="15.75" customHeight="1" x14ac:dyDescent="0.3">
      <c r="C686" s="12"/>
    </row>
    <row r="687" spans="3:3" ht="15.75" customHeight="1" x14ac:dyDescent="0.3">
      <c r="C687" s="12"/>
    </row>
    <row r="688" spans="3:3" ht="15.75" customHeight="1" x14ac:dyDescent="0.3">
      <c r="C688" s="12"/>
    </row>
    <row r="689" spans="3:3" ht="15.75" customHeight="1" x14ac:dyDescent="0.3">
      <c r="C689" s="12"/>
    </row>
    <row r="690" spans="3:3" ht="15.75" customHeight="1" x14ac:dyDescent="0.3">
      <c r="C690" s="12"/>
    </row>
    <row r="691" spans="3:3" ht="15.75" customHeight="1" x14ac:dyDescent="0.3">
      <c r="C691" s="12"/>
    </row>
    <row r="692" spans="3:3" ht="15.75" customHeight="1" x14ac:dyDescent="0.3">
      <c r="C692" s="12"/>
    </row>
    <row r="693" spans="3:3" ht="15.75" customHeight="1" x14ac:dyDescent="0.3">
      <c r="C693" s="12"/>
    </row>
    <row r="694" spans="3:3" ht="15.75" customHeight="1" x14ac:dyDescent="0.3">
      <c r="C694" s="12"/>
    </row>
    <row r="695" spans="3:3" ht="15.75" customHeight="1" x14ac:dyDescent="0.3">
      <c r="C695" s="12"/>
    </row>
    <row r="696" spans="3:3" ht="15.75" customHeight="1" x14ac:dyDescent="0.3">
      <c r="C696" s="12"/>
    </row>
    <row r="697" spans="3:3" ht="15.75" customHeight="1" x14ac:dyDescent="0.3">
      <c r="C697" s="12"/>
    </row>
    <row r="698" spans="3:3" ht="15.75" customHeight="1" x14ac:dyDescent="0.3">
      <c r="C698" s="12"/>
    </row>
    <row r="699" spans="3:3" ht="15.75" customHeight="1" x14ac:dyDescent="0.3">
      <c r="C699" s="12"/>
    </row>
    <row r="700" spans="3:3" ht="15.75" customHeight="1" x14ac:dyDescent="0.3">
      <c r="C700" s="12"/>
    </row>
    <row r="701" spans="3:3" ht="15.75" customHeight="1" x14ac:dyDescent="0.3">
      <c r="C701" s="12"/>
    </row>
    <row r="702" spans="3:3" ht="15.75" customHeight="1" x14ac:dyDescent="0.3">
      <c r="C702" s="12"/>
    </row>
    <row r="703" spans="3:3" ht="15.75" customHeight="1" x14ac:dyDescent="0.3">
      <c r="C703" s="12"/>
    </row>
    <row r="704" spans="3:3" ht="15.75" customHeight="1" x14ac:dyDescent="0.3">
      <c r="C704" s="12"/>
    </row>
    <row r="705" spans="3:3" ht="15.75" customHeight="1" x14ac:dyDescent="0.3">
      <c r="C705" s="12"/>
    </row>
    <row r="706" spans="3:3" ht="15.75" customHeight="1" x14ac:dyDescent="0.3">
      <c r="C706" s="12"/>
    </row>
    <row r="707" spans="3:3" ht="15.75" customHeight="1" x14ac:dyDescent="0.3">
      <c r="C707" s="12"/>
    </row>
    <row r="708" spans="3:3" ht="15.75" customHeight="1" x14ac:dyDescent="0.3">
      <c r="C708" s="12"/>
    </row>
    <row r="709" spans="3:3" ht="15.75" customHeight="1" x14ac:dyDescent="0.3">
      <c r="C709" s="12"/>
    </row>
    <row r="710" spans="3:3" ht="15.75" customHeight="1" x14ac:dyDescent="0.3">
      <c r="C710" s="12"/>
    </row>
    <row r="711" spans="3:3" ht="15.75" customHeight="1" x14ac:dyDescent="0.3">
      <c r="C711" s="12"/>
    </row>
    <row r="712" spans="3:3" ht="15.75" customHeight="1" x14ac:dyDescent="0.3">
      <c r="C712" s="12"/>
    </row>
    <row r="713" spans="3:3" ht="15.75" customHeight="1" x14ac:dyDescent="0.3">
      <c r="C713" s="12"/>
    </row>
    <row r="714" spans="3:3" ht="15.75" customHeight="1" x14ac:dyDescent="0.3">
      <c r="C714" s="12"/>
    </row>
    <row r="715" spans="3:3" ht="15.75" customHeight="1" x14ac:dyDescent="0.3">
      <c r="C715" s="12"/>
    </row>
    <row r="716" spans="3:3" ht="15.75" customHeight="1" x14ac:dyDescent="0.3">
      <c r="C716" s="12"/>
    </row>
    <row r="717" spans="3:3" ht="15.75" customHeight="1" x14ac:dyDescent="0.3">
      <c r="C717" s="12"/>
    </row>
    <row r="718" spans="3:3" ht="15.75" customHeight="1" x14ac:dyDescent="0.3">
      <c r="C718" s="12"/>
    </row>
    <row r="719" spans="3:3" ht="15.75" customHeight="1" x14ac:dyDescent="0.3">
      <c r="C719" s="12"/>
    </row>
    <row r="720" spans="3:3" ht="15.75" customHeight="1" x14ac:dyDescent="0.3">
      <c r="C720" s="12"/>
    </row>
    <row r="721" spans="3:3" ht="15.75" customHeight="1" x14ac:dyDescent="0.3">
      <c r="C721" s="12"/>
    </row>
    <row r="722" spans="3:3" ht="15.75" customHeight="1" x14ac:dyDescent="0.3">
      <c r="C722" s="12"/>
    </row>
    <row r="723" spans="3:3" ht="15.75" customHeight="1" x14ac:dyDescent="0.3">
      <c r="C723" s="12"/>
    </row>
    <row r="724" spans="3:3" ht="15.75" customHeight="1" x14ac:dyDescent="0.3">
      <c r="C724" s="12"/>
    </row>
    <row r="725" spans="3:3" ht="15.75" customHeight="1" x14ac:dyDescent="0.3">
      <c r="C725" s="12"/>
    </row>
    <row r="726" spans="3:3" ht="15.75" customHeight="1" x14ac:dyDescent="0.3">
      <c r="C726" s="12"/>
    </row>
    <row r="727" spans="3:3" ht="15.75" customHeight="1" x14ac:dyDescent="0.3">
      <c r="C727" s="12"/>
    </row>
    <row r="728" spans="3:3" ht="15.75" customHeight="1" x14ac:dyDescent="0.3">
      <c r="C728" s="12"/>
    </row>
    <row r="729" spans="3:3" ht="15.75" customHeight="1" x14ac:dyDescent="0.3">
      <c r="C729" s="12"/>
    </row>
    <row r="730" spans="3:3" ht="15.75" customHeight="1" x14ac:dyDescent="0.3">
      <c r="C730" s="12"/>
    </row>
    <row r="731" spans="3:3" ht="15.75" customHeight="1" x14ac:dyDescent="0.3">
      <c r="C731" s="12"/>
    </row>
    <row r="732" spans="3:3" ht="15.75" customHeight="1" x14ac:dyDescent="0.3">
      <c r="C732" s="12"/>
    </row>
    <row r="733" spans="3:3" ht="15.75" customHeight="1" x14ac:dyDescent="0.3">
      <c r="C733" s="12"/>
    </row>
    <row r="734" spans="3:3" ht="15.75" customHeight="1" x14ac:dyDescent="0.3">
      <c r="C734" s="12"/>
    </row>
    <row r="735" spans="3:3" ht="15.75" customHeight="1" x14ac:dyDescent="0.3">
      <c r="C735" s="12"/>
    </row>
    <row r="736" spans="3:3" ht="15.75" customHeight="1" x14ac:dyDescent="0.3">
      <c r="C736" s="12"/>
    </row>
    <row r="737" spans="3:3" ht="15.75" customHeight="1" x14ac:dyDescent="0.3">
      <c r="C737" s="12"/>
    </row>
    <row r="738" spans="3:3" ht="15.75" customHeight="1" x14ac:dyDescent="0.3">
      <c r="C738" s="12"/>
    </row>
    <row r="739" spans="3:3" ht="15.75" customHeight="1" x14ac:dyDescent="0.3">
      <c r="C739" s="12"/>
    </row>
    <row r="740" spans="3:3" ht="15.75" customHeight="1" x14ac:dyDescent="0.3">
      <c r="C740" s="12"/>
    </row>
    <row r="741" spans="3:3" ht="15.75" customHeight="1" x14ac:dyDescent="0.3">
      <c r="C741" s="12"/>
    </row>
    <row r="742" spans="3:3" ht="15.75" customHeight="1" x14ac:dyDescent="0.3">
      <c r="C742" s="12"/>
    </row>
    <row r="743" spans="3:3" ht="15.75" customHeight="1" x14ac:dyDescent="0.3">
      <c r="C743" s="12"/>
    </row>
    <row r="744" spans="3:3" ht="15.75" customHeight="1" x14ac:dyDescent="0.3">
      <c r="C744" s="12"/>
    </row>
    <row r="745" spans="3:3" ht="15.75" customHeight="1" x14ac:dyDescent="0.3">
      <c r="C745" s="12"/>
    </row>
    <row r="746" spans="3:3" ht="15.75" customHeight="1" x14ac:dyDescent="0.3">
      <c r="C746" s="12"/>
    </row>
    <row r="747" spans="3:3" ht="15.75" customHeight="1" x14ac:dyDescent="0.3">
      <c r="C747" s="12"/>
    </row>
    <row r="748" spans="3:3" ht="15.75" customHeight="1" x14ac:dyDescent="0.3">
      <c r="C748" s="12"/>
    </row>
    <row r="749" spans="3:3" ht="15.75" customHeight="1" x14ac:dyDescent="0.3">
      <c r="C749" s="12"/>
    </row>
    <row r="750" spans="3:3" ht="15.75" customHeight="1" x14ac:dyDescent="0.3">
      <c r="C750" s="12"/>
    </row>
    <row r="751" spans="3:3" ht="15.75" customHeight="1" x14ac:dyDescent="0.3">
      <c r="C751" s="12"/>
    </row>
    <row r="752" spans="3:3" ht="15.75" customHeight="1" x14ac:dyDescent="0.3">
      <c r="C752" s="12"/>
    </row>
    <row r="753" spans="3:3" ht="15.75" customHeight="1" x14ac:dyDescent="0.3">
      <c r="C753" s="12"/>
    </row>
    <row r="754" spans="3:3" ht="15.75" customHeight="1" x14ac:dyDescent="0.3">
      <c r="C754" s="12"/>
    </row>
    <row r="755" spans="3:3" ht="15.75" customHeight="1" x14ac:dyDescent="0.3">
      <c r="C755" s="12"/>
    </row>
    <row r="756" spans="3:3" ht="15.75" customHeight="1" x14ac:dyDescent="0.3">
      <c r="C756" s="12"/>
    </row>
    <row r="757" spans="3:3" ht="15.75" customHeight="1" x14ac:dyDescent="0.3">
      <c r="C757" s="12"/>
    </row>
    <row r="758" spans="3:3" ht="15.75" customHeight="1" x14ac:dyDescent="0.3">
      <c r="C758" s="12"/>
    </row>
    <row r="759" spans="3:3" ht="15.75" customHeight="1" x14ac:dyDescent="0.3">
      <c r="C759" s="12"/>
    </row>
    <row r="760" spans="3:3" ht="15.75" customHeight="1" x14ac:dyDescent="0.3">
      <c r="C760" s="12"/>
    </row>
    <row r="761" spans="3:3" ht="15.75" customHeight="1" x14ac:dyDescent="0.3">
      <c r="C761" s="12"/>
    </row>
    <row r="762" spans="3:3" ht="15.75" customHeight="1" x14ac:dyDescent="0.3">
      <c r="C762" s="12"/>
    </row>
    <row r="763" spans="3:3" ht="15.75" customHeight="1" x14ac:dyDescent="0.3">
      <c r="C763" s="12"/>
    </row>
    <row r="764" spans="3:3" ht="15.75" customHeight="1" x14ac:dyDescent="0.3">
      <c r="C764" s="12"/>
    </row>
    <row r="765" spans="3:3" ht="15.75" customHeight="1" x14ac:dyDescent="0.3">
      <c r="C765" s="12"/>
    </row>
    <row r="766" spans="3:3" ht="15.75" customHeight="1" x14ac:dyDescent="0.3">
      <c r="C766" s="12"/>
    </row>
    <row r="767" spans="3:3" ht="15.75" customHeight="1" x14ac:dyDescent="0.3">
      <c r="C767" s="12"/>
    </row>
    <row r="768" spans="3:3" ht="15.75" customHeight="1" x14ac:dyDescent="0.3">
      <c r="C768" s="12"/>
    </row>
    <row r="769" spans="3:3" ht="15.75" customHeight="1" x14ac:dyDescent="0.3">
      <c r="C769" s="12"/>
    </row>
    <row r="770" spans="3:3" ht="15.75" customHeight="1" x14ac:dyDescent="0.3">
      <c r="C770" s="12"/>
    </row>
    <row r="771" spans="3:3" ht="15.75" customHeight="1" x14ac:dyDescent="0.3">
      <c r="C771" s="12"/>
    </row>
    <row r="772" spans="3:3" ht="15.75" customHeight="1" x14ac:dyDescent="0.3">
      <c r="C772" s="12"/>
    </row>
    <row r="773" spans="3:3" ht="15.75" customHeight="1" x14ac:dyDescent="0.3">
      <c r="C773" s="12"/>
    </row>
    <row r="774" spans="3:3" ht="15.75" customHeight="1" x14ac:dyDescent="0.3">
      <c r="C774" s="12"/>
    </row>
    <row r="775" spans="3:3" ht="15.75" customHeight="1" x14ac:dyDescent="0.3">
      <c r="C775" s="12"/>
    </row>
    <row r="776" spans="3:3" ht="15.75" customHeight="1" x14ac:dyDescent="0.3">
      <c r="C776" s="12"/>
    </row>
    <row r="777" spans="3:3" ht="15.75" customHeight="1" x14ac:dyDescent="0.3">
      <c r="C777" s="12"/>
    </row>
    <row r="778" spans="3:3" ht="15.75" customHeight="1" x14ac:dyDescent="0.3">
      <c r="C778" s="12"/>
    </row>
    <row r="779" spans="3:3" ht="15.75" customHeight="1" x14ac:dyDescent="0.3">
      <c r="C779" s="12"/>
    </row>
    <row r="780" spans="3:3" ht="15.75" customHeight="1" x14ac:dyDescent="0.3">
      <c r="C780" s="12"/>
    </row>
    <row r="781" spans="3:3" ht="15.75" customHeight="1" x14ac:dyDescent="0.3">
      <c r="C781" s="12"/>
    </row>
    <row r="782" spans="3:3" ht="15.75" customHeight="1" x14ac:dyDescent="0.3">
      <c r="C782" s="12"/>
    </row>
    <row r="783" spans="3:3" ht="15.75" customHeight="1" x14ac:dyDescent="0.3">
      <c r="C783" s="12"/>
    </row>
    <row r="784" spans="3:3" ht="15.75" customHeight="1" x14ac:dyDescent="0.3">
      <c r="C784" s="12"/>
    </row>
    <row r="785" spans="3:3" ht="15.75" customHeight="1" x14ac:dyDescent="0.3">
      <c r="C785" s="12"/>
    </row>
    <row r="786" spans="3:3" ht="15.75" customHeight="1" x14ac:dyDescent="0.3">
      <c r="C786" s="12"/>
    </row>
    <row r="787" spans="3:3" ht="15.75" customHeight="1" x14ac:dyDescent="0.3">
      <c r="C787" s="12"/>
    </row>
    <row r="788" spans="3:3" ht="15.75" customHeight="1" x14ac:dyDescent="0.3">
      <c r="C788" s="12"/>
    </row>
    <row r="789" spans="3:3" ht="15.75" customHeight="1" x14ac:dyDescent="0.3">
      <c r="C789" s="12"/>
    </row>
    <row r="790" spans="3:3" ht="15.75" customHeight="1" x14ac:dyDescent="0.3">
      <c r="C790" s="12"/>
    </row>
    <row r="791" spans="3:3" ht="15.75" customHeight="1" x14ac:dyDescent="0.3">
      <c r="C791" s="12"/>
    </row>
    <row r="792" spans="3:3" ht="15.75" customHeight="1" x14ac:dyDescent="0.3">
      <c r="C792" s="12"/>
    </row>
    <row r="793" spans="3:3" ht="15.75" customHeight="1" x14ac:dyDescent="0.3">
      <c r="C793" s="12"/>
    </row>
    <row r="794" spans="3:3" ht="15.75" customHeight="1" x14ac:dyDescent="0.3">
      <c r="C794" s="12"/>
    </row>
    <row r="795" spans="3:3" ht="15.75" customHeight="1" x14ac:dyDescent="0.3">
      <c r="C795" s="12"/>
    </row>
    <row r="796" spans="3:3" ht="15.75" customHeight="1" x14ac:dyDescent="0.3">
      <c r="C796" s="12"/>
    </row>
    <row r="797" spans="3:3" ht="15.75" customHeight="1" x14ac:dyDescent="0.3">
      <c r="C797" s="12"/>
    </row>
    <row r="798" spans="3:3" ht="15.75" customHeight="1" x14ac:dyDescent="0.3">
      <c r="C798" s="12"/>
    </row>
    <row r="799" spans="3:3" ht="15.75" customHeight="1" x14ac:dyDescent="0.3">
      <c r="C799" s="12"/>
    </row>
    <row r="800" spans="3:3" ht="15.75" customHeight="1" x14ac:dyDescent="0.3">
      <c r="C800" s="12"/>
    </row>
    <row r="801" spans="3:3" ht="15.75" customHeight="1" x14ac:dyDescent="0.3">
      <c r="C801" s="12"/>
    </row>
    <row r="802" spans="3:3" ht="15.75" customHeight="1" x14ac:dyDescent="0.3">
      <c r="C802" s="12"/>
    </row>
    <row r="803" spans="3:3" ht="15.75" customHeight="1" x14ac:dyDescent="0.3">
      <c r="C803" s="12"/>
    </row>
    <row r="804" spans="3:3" ht="15.75" customHeight="1" x14ac:dyDescent="0.3">
      <c r="C804" s="12"/>
    </row>
    <row r="805" spans="3:3" ht="15.75" customHeight="1" x14ac:dyDescent="0.3">
      <c r="C805" s="12"/>
    </row>
    <row r="806" spans="3:3" ht="15.75" customHeight="1" x14ac:dyDescent="0.3">
      <c r="C806" s="12"/>
    </row>
    <row r="807" spans="3:3" ht="15.75" customHeight="1" x14ac:dyDescent="0.3">
      <c r="C807" s="12"/>
    </row>
    <row r="808" spans="3:3" ht="15.75" customHeight="1" x14ac:dyDescent="0.3">
      <c r="C808" s="12"/>
    </row>
    <row r="809" spans="3:3" ht="15.75" customHeight="1" x14ac:dyDescent="0.3">
      <c r="C809" s="12"/>
    </row>
    <row r="810" spans="3:3" ht="15.75" customHeight="1" x14ac:dyDescent="0.3">
      <c r="C810" s="12"/>
    </row>
    <row r="811" spans="3:3" ht="15.75" customHeight="1" x14ac:dyDescent="0.3">
      <c r="C811" s="12"/>
    </row>
    <row r="812" spans="3:3" ht="15.75" customHeight="1" x14ac:dyDescent="0.3">
      <c r="C812" s="12"/>
    </row>
    <row r="813" spans="3:3" ht="15.75" customHeight="1" x14ac:dyDescent="0.3">
      <c r="C813" s="12"/>
    </row>
    <row r="814" spans="3:3" ht="15.75" customHeight="1" x14ac:dyDescent="0.3">
      <c r="C814" s="12"/>
    </row>
    <row r="815" spans="3:3" ht="15.75" customHeight="1" x14ac:dyDescent="0.3">
      <c r="C815" s="12"/>
    </row>
    <row r="816" spans="3:3" ht="15.75" customHeight="1" x14ac:dyDescent="0.3">
      <c r="C816" s="12"/>
    </row>
    <row r="817" spans="3:3" ht="15.75" customHeight="1" x14ac:dyDescent="0.3">
      <c r="C817" s="12"/>
    </row>
    <row r="818" spans="3:3" ht="15.75" customHeight="1" x14ac:dyDescent="0.3">
      <c r="C818" s="12"/>
    </row>
    <row r="819" spans="3:3" ht="15.75" customHeight="1" x14ac:dyDescent="0.3">
      <c r="C819" s="12"/>
    </row>
    <row r="820" spans="3:3" ht="15.75" customHeight="1" x14ac:dyDescent="0.3">
      <c r="C820" s="12"/>
    </row>
    <row r="821" spans="3:3" ht="15.75" customHeight="1" x14ac:dyDescent="0.3">
      <c r="C821" s="12"/>
    </row>
    <row r="822" spans="3:3" ht="15.75" customHeight="1" x14ac:dyDescent="0.3">
      <c r="C822" s="12"/>
    </row>
    <row r="823" spans="3:3" ht="15.75" customHeight="1" x14ac:dyDescent="0.3">
      <c r="C823" s="12"/>
    </row>
    <row r="824" spans="3:3" ht="15.75" customHeight="1" x14ac:dyDescent="0.3">
      <c r="C824" s="12"/>
    </row>
    <row r="825" spans="3:3" ht="15.75" customHeight="1" x14ac:dyDescent="0.3">
      <c r="C825" s="12"/>
    </row>
    <row r="826" spans="3:3" ht="15.75" customHeight="1" x14ac:dyDescent="0.3">
      <c r="C826" s="12"/>
    </row>
    <row r="827" spans="3:3" ht="15.75" customHeight="1" x14ac:dyDescent="0.3">
      <c r="C827" s="12"/>
    </row>
    <row r="828" spans="3:3" ht="15.75" customHeight="1" x14ac:dyDescent="0.3">
      <c r="C828" s="12"/>
    </row>
    <row r="829" spans="3:3" ht="15.75" customHeight="1" x14ac:dyDescent="0.3">
      <c r="C829" s="12"/>
    </row>
    <row r="830" spans="3:3" ht="15.75" customHeight="1" x14ac:dyDescent="0.3">
      <c r="C830" s="12"/>
    </row>
    <row r="831" spans="3:3" ht="15.75" customHeight="1" x14ac:dyDescent="0.3">
      <c r="C831" s="12"/>
    </row>
    <row r="832" spans="3:3" ht="15.75" customHeight="1" x14ac:dyDescent="0.3">
      <c r="C832" s="12"/>
    </row>
    <row r="833" spans="3:3" ht="15.75" customHeight="1" x14ac:dyDescent="0.3">
      <c r="C833" s="12"/>
    </row>
    <row r="834" spans="3:3" ht="15.75" customHeight="1" x14ac:dyDescent="0.3">
      <c r="C834" s="12"/>
    </row>
    <row r="835" spans="3:3" ht="15.75" customHeight="1" x14ac:dyDescent="0.3">
      <c r="C835" s="12"/>
    </row>
    <row r="836" spans="3:3" ht="15.75" customHeight="1" x14ac:dyDescent="0.3">
      <c r="C836" s="12"/>
    </row>
    <row r="837" spans="3:3" ht="15.75" customHeight="1" x14ac:dyDescent="0.3">
      <c r="C837" s="12"/>
    </row>
    <row r="838" spans="3:3" ht="15.75" customHeight="1" x14ac:dyDescent="0.3">
      <c r="C838" s="12"/>
    </row>
    <row r="839" spans="3:3" ht="15.75" customHeight="1" x14ac:dyDescent="0.3">
      <c r="C839" s="12"/>
    </row>
    <row r="840" spans="3:3" ht="15.75" customHeight="1" x14ac:dyDescent="0.3">
      <c r="C840" s="12"/>
    </row>
    <row r="841" spans="3:3" ht="15.75" customHeight="1" x14ac:dyDescent="0.3">
      <c r="C841" s="12"/>
    </row>
    <row r="842" spans="3:3" ht="15.75" customHeight="1" x14ac:dyDescent="0.3">
      <c r="C842" s="12"/>
    </row>
    <row r="843" spans="3:3" ht="15.75" customHeight="1" x14ac:dyDescent="0.3">
      <c r="C843" s="12"/>
    </row>
    <row r="844" spans="3:3" ht="15.75" customHeight="1" x14ac:dyDescent="0.3">
      <c r="C844" s="12"/>
    </row>
    <row r="845" spans="3:3" ht="15.75" customHeight="1" x14ac:dyDescent="0.3">
      <c r="C845" s="12"/>
    </row>
    <row r="846" spans="3:3" ht="15.75" customHeight="1" x14ac:dyDescent="0.3">
      <c r="C846" s="12"/>
    </row>
    <row r="847" spans="3:3" ht="15.75" customHeight="1" x14ac:dyDescent="0.3">
      <c r="C847" s="12"/>
    </row>
    <row r="848" spans="3:3" ht="15.75" customHeight="1" x14ac:dyDescent="0.3">
      <c r="C848" s="12"/>
    </row>
    <row r="849" spans="3:3" ht="15.75" customHeight="1" x14ac:dyDescent="0.3">
      <c r="C849" s="12"/>
    </row>
    <row r="850" spans="3:3" ht="15.75" customHeight="1" x14ac:dyDescent="0.3">
      <c r="C850" s="12"/>
    </row>
    <row r="851" spans="3:3" ht="15.75" customHeight="1" x14ac:dyDescent="0.3">
      <c r="C851" s="12"/>
    </row>
    <row r="852" spans="3:3" ht="15.75" customHeight="1" x14ac:dyDescent="0.3">
      <c r="C852" s="12"/>
    </row>
    <row r="853" spans="3:3" ht="15.75" customHeight="1" x14ac:dyDescent="0.3">
      <c r="C853" s="12"/>
    </row>
    <row r="854" spans="3:3" ht="15.75" customHeight="1" x14ac:dyDescent="0.3">
      <c r="C854" s="12"/>
    </row>
    <row r="855" spans="3:3" ht="15.75" customHeight="1" x14ac:dyDescent="0.3">
      <c r="C855" s="12"/>
    </row>
    <row r="856" spans="3:3" ht="15.75" customHeight="1" x14ac:dyDescent="0.3">
      <c r="C856" s="12"/>
    </row>
    <row r="857" spans="3:3" ht="15.75" customHeight="1" x14ac:dyDescent="0.3">
      <c r="C857" s="12"/>
    </row>
    <row r="858" spans="3:3" ht="15.75" customHeight="1" x14ac:dyDescent="0.3">
      <c r="C858" s="12"/>
    </row>
    <row r="859" spans="3:3" ht="15.75" customHeight="1" x14ac:dyDescent="0.3">
      <c r="C859" s="12"/>
    </row>
    <row r="860" spans="3:3" ht="15.75" customHeight="1" x14ac:dyDescent="0.3">
      <c r="C860" s="12"/>
    </row>
    <row r="861" spans="3:3" ht="15.75" customHeight="1" x14ac:dyDescent="0.3">
      <c r="C861" s="12"/>
    </row>
    <row r="862" spans="3:3" ht="15.75" customHeight="1" x14ac:dyDescent="0.3">
      <c r="C862" s="12"/>
    </row>
    <row r="863" spans="3:3" ht="15.75" customHeight="1" x14ac:dyDescent="0.3">
      <c r="C863" s="12"/>
    </row>
    <row r="864" spans="3:3" ht="15.75" customHeight="1" x14ac:dyDescent="0.3">
      <c r="C864" s="12"/>
    </row>
    <row r="865" spans="3:3" ht="15.75" customHeight="1" x14ac:dyDescent="0.3">
      <c r="C865" s="12"/>
    </row>
    <row r="866" spans="3:3" ht="15.75" customHeight="1" x14ac:dyDescent="0.3">
      <c r="C866" s="12"/>
    </row>
    <row r="867" spans="3:3" ht="15.75" customHeight="1" x14ac:dyDescent="0.3">
      <c r="C867" s="12"/>
    </row>
    <row r="868" spans="3:3" ht="15.75" customHeight="1" x14ac:dyDescent="0.3">
      <c r="C868" s="12"/>
    </row>
    <row r="869" spans="3:3" ht="15.75" customHeight="1" x14ac:dyDescent="0.3">
      <c r="C869" s="12"/>
    </row>
    <row r="870" spans="3:3" ht="15.75" customHeight="1" x14ac:dyDescent="0.3">
      <c r="C870" s="12"/>
    </row>
    <row r="871" spans="3:3" ht="15.75" customHeight="1" x14ac:dyDescent="0.3">
      <c r="C871" s="12"/>
    </row>
    <row r="872" spans="3:3" ht="15.75" customHeight="1" x14ac:dyDescent="0.3">
      <c r="C872" s="12"/>
    </row>
    <row r="873" spans="3:3" ht="15.75" customHeight="1" x14ac:dyDescent="0.3">
      <c r="C873" s="12"/>
    </row>
    <row r="874" spans="3:3" ht="15.75" customHeight="1" x14ac:dyDescent="0.3">
      <c r="C874" s="12"/>
    </row>
    <row r="875" spans="3:3" ht="15.75" customHeight="1" x14ac:dyDescent="0.3">
      <c r="C875" s="12"/>
    </row>
    <row r="876" spans="3:3" ht="15.75" customHeight="1" x14ac:dyDescent="0.3">
      <c r="C876" s="12"/>
    </row>
    <row r="877" spans="3:3" ht="15.75" customHeight="1" x14ac:dyDescent="0.3">
      <c r="C877" s="12"/>
    </row>
    <row r="878" spans="3:3" ht="15.75" customHeight="1" x14ac:dyDescent="0.3">
      <c r="C878" s="12"/>
    </row>
    <row r="879" spans="3:3" ht="15.75" customHeight="1" x14ac:dyDescent="0.3">
      <c r="C879" s="12"/>
    </row>
    <row r="880" spans="3:3" ht="15.75" customHeight="1" x14ac:dyDescent="0.3">
      <c r="C880" s="12"/>
    </row>
    <row r="881" spans="3:3" ht="15.75" customHeight="1" x14ac:dyDescent="0.3">
      <c r="C881" s="12"/>
    </row>
    <row r="882" spans="3:3" ht="15.75" customHeight="1" x14ac:dyDescent="0.3">
      <c r="C882" s="12"/>
    </row>
    <row r="883" spans="3:3" ht="15.75" customHeight="1" x14ac:dyDescent="0.3">
      <c r="C883" s="12"/>
    </row>
    <row r="884" spans="3:3" ht="15.75" customHeight="1" x14ac:dyDescent="0.3">
      <c r="C884" s="12"/>
    </row>
    <row r="885" spans="3:3" ht="15.75" customHeight="1" x14ac:dyDescent="0.3">
      <c r="C885" s="12"/>
    </row>
    <row r="886" spans="3:3" ht="15.75" customHeight="1" x14ac:dyDescent="0.3">
      <c r="C886" s="12"/>
    </row>
    <row r="887" spans="3:3" ht="15.75" customHeight="1" x14ac:dyDescent="0.3">
      <c r="C887" s="12"/>
    </row>
    <row r="888" spans="3:3" ht="15.75" customHeight="1" x14ac:dyDescent="0.3">
      <c r="C888" s="12"/>
    </row>
    <row r="889" spans="3:3" ht="15.75" customHeight="1" x14ac:dyDescent="0.3">
      <c r="C889" s="12"/>
    </row>
    <row r="890" spans="3:3" ht="15.75" customHeight="1" x14ac:dyDescent="0.3">
      <c r="C890" s="12"/>
    </row>
    <row r="891" spans="3:3" ht="15.75" customHeight="1" x14ac:dyDescent="0.3">
      <c r="C891" s="12"/>
    </row>
    <row r="892" spans="3:3" ht="15.75" customHeight="1" x14ac:dyDescent="0.3">
      <c r="C892" s="12"/>
    </row>
    <row r="893" spans="3:3" ht="15.75" customHeight="1" x14ac:dyDescent="0.3">
      <c r="C893" s="12"/>
    </row>
    <row r="894" spans="3:3" ht="15.75" customHeight="1" x14ac:dyDescent="0.3">
      <c r="C894" s="12"/>
    </row>
    <row r="895" spans="3:3" ht="15.75" customHeight="1" x14ac:dyDescent="0.3">
      <c r="C895" s="12"/>
    </row>
    <row r="896" spans="3:3" ht="15.75" customHeight="1" x14ac:dyDescent="0.3">
      <c r="C896" s="12"/>
    </row>
    <row r="897" spans="3:3" ht="15.75" customHeight="1" x14ac:dyDescent="0.3">
      <c r="C897" s="12"/>
    </row>
    <row r="898" spans="3:3" ht="15.75" customHeight="1" x14ac:dyDescent="0.3">
      <c r="C898" s="12"/>
    </row>
    <row r="899" spans="3:3" ht="15.75" customHeight="1" x14ac:dyDescent="0.3">
      <c r="C899" s="12"/>
    </row>
    <row r="900" spans="3:3" ht="15.75" customHeight="1" x14ac:dyDescent="0.3">
      <c r="C900" s="12"/>
    </row>
    <row r="901" spans="3:3" ht="15.75" customHeight="1" x14ac:dyDescent="0.3">
      <c r="C901" s="12"/>
    </row>
    <row r="902" spans="3:3" ht="15.75" customHeight="1" x14ac:dyDescent="0.3">
      <c r="C902" s="12"/>
    </row>
    <row r="903" spans="3:3" ht="15.75" customHeight="1" x14ac:dyDescent="0.3">
      <c r="C903" s="12"/>
    </row>
    <row r="904" spans="3:3" ht="15.75" customHeight="1" x14ac:dyDescent="0.3">
      <c r="C904" s="12"/>
    </row>
    <row r="905" spans="3:3" ht="15.75" customHeight="1" x14ac:dyDescent="0.3">
      <c r="C905" s="12"/>
    </row>
    <row r="906" spans="3:3" ht="15.75" customHeight="1" x14ac:dyDescent="0.3">
      <c r="C906" s="12"/>
    </row>
    <row r="907" spans="3:3" ht="15.75" customHeight="1" x14ac:dyDescent="0.3">
      <c r="C907" s="12"/>
    </row>
    <row r="908" spans="3:3" ht="15.75" customHeight="1" x14ac:dyDescent="0.3">
      <c r="C908" s="12"/>
    </row>
    <row r="909" spans="3:3" ht="15.75" customHeight="1" x14ac:dyDescent="0.3">
      <c r="C909" s="12"/>
    </row>
    <row r="910" spans="3:3" ht="15.75" customHeight="1" x14ac:dyDescent="0.3">
      <c r="C910" s="12"/>
    </row>
    <row r="911" spans="3:3" ht="15.75" customHeight="1" x14ac:dyDescent="0.3">
      <c r="C911" s="12"/>
    </row>
    <row r="912" spans="3:3" ht="15.75" customHeight="1" x14ac:dyDescent="0.3">
      <c r="C912" s="12"/>
    </row>
    <row r="913" spans="3:3" ht="15.75" customHeight="1" x14ac:dyDescent="0.3">
      <c r="C913" s="12"/>
    </row>
    <row r="914" spans="3:3" ht="15.75" customHeight="1" x14ac:dyDescent="0.3">
      <c r="C914" s="12"/>
    </row>
    <row r="915" spans="3:3" ht="15.75" customHeight="1" x14ac:dyDescent="0.3">
      <c r="C915" s="12"/>
    </row>
    <row r="916" spans="3:3" ht="15.75" customHeight="1" x14ac:dyDescent="0.3">
      <c r="C916" s="12"/>
    </row>
    <row r="917" spans="3:3" ht="15.75" customHeight="1" x14ac:dyDescent="0.3">
      <c r="C917" s="12"/>
    </row>
    <row r="918" spans="3:3" ht="15.75" customHeight="1" x14ac:dyDescent="0.3">
      <c r="C918" s="12"/>
    </row>
    <row r="919" spans="3:3" ht="15.75" customHeight="1" x14ac:dyDescent="0.3">
      <c r="C919" s="12"/>
    </row>
    <row r="920" spans="3:3" ht="15.75" customHeight="1" x14ac:dyDescent="0.3">
      <c r="C920" s="12"/>
    </row>
    <row r="921" spans="3:3" ht="15.75" customHeight="1" x14ac:dyDescent="0.3">
      <c r="C921" s="12"/>
    </row>
    <row r="922" spans="3:3" ht="15.75" customHeight="1" x14ac:dyDescent="0.3">
      <c r="C922" s="12"/>
    </row>
    <row r="923" spans="3:3" ht="15.75" customHeight="1" x14ac:dyDescent="0.3">
      <c r="C923" s="12"/>
    </row>
    <row r="924" spans="3:3" ht="15.75" customHeight="1" x14ac:dyDescent="0.3">
      <c r="C924" s="12"/>
    </row>
    <row r="925" spans="3:3" ht="15.75" customHeight="1" x14ac:dyDescent="0.3">
      <c r="C925" s="12"/>
    </row>
    <row r="926" spans="3:3" ht="15.75" customHeight="1" x14ac:dyDescent="0.3">
      <c r="C926" s="12"/>
    </row>
    <row r="927" spans="3:3" ht="15.75" customHeight="1" x14ac:dyDescent="0.3">
      <c r="C927" s="12"/>
    </row>
    <row r="928" spans="3:3" ht="15.75" customHeight="1" x14ac:dyDescent="0.3">
      <c r="C928" s="12"/>
    </row>
    <row r="929" spans="3:3" ht="15.75" customHeight="1" x14ac:dyDescent="0.3">
      <c r="C929" s="12"/>
    </row>
    <row r="930" spans="3:3" ht="15.75" customHeight="1" x14ac:dyDescent="0.3">
      <c r="C930" s="12"/>
    </row>
    <row r="931" spans="3:3" ht="15.75" customHeight="1" x14ac:dyDescent="0.3">
      <c r="C931" s="12"/>
    </row>
    <row r="932" spans="3:3" ht="15.75" customHeight="1" x14ac:dyDescent="0.3">
      <c r="C932" s="12"/>
    </row>
    <row r="933" spans="3:3" ht="15.75" customHeight="1" x14ac:dyDescent="0.3">
      <c r="C933" s="12"/>
    </row>
    <row r="934" spans="3:3" ht="15.75" customHeight="1" x14ac:dyDescent="0.3">
      <c r="C934" s="12"/>
    </row>
    <row r="935" spans="3:3" ht="15.75" customHeight="1" x14ac:dyDescent="0.3">
      <c r="C935" s="12"/>
    </row>
    <row r="936" spans="3:3" ht="15.75" customHeight="1" x14ac:dyDescent="0.3">
      <c r="C936" s="12"/>
    </row>
    <row r="937" spans="3:3" ht="15.75" customHeight="1" x14ac:dyDescent="0.3">
      <c r="C937" s="12"/>
    </row>
    <row r="938" spans="3:3" ht="15.75" customHeight="1" x14ac:dyDescent="0.3">
      <c r="C938" s="12"/>
    </row>
    <row r="939" spans="3:3" ht="15.75" customHeight="1" x14ac:dyDescent="0.3">
      <c r="C939" s="12"/>
    </row>
    <row r="940" spans="3:3" ht="15.75" customHeight="1" x14ac:dyDescent="0.3">
      <c r="C940" s="12"/>
    </row>
    <row r="941" spans="3:3" ht="15.75" customHeight="1" x14ac:dyDescent="0.3">
      <c r="C941" s="12"/>
    </row>
    <row r="942" spans="3:3" ht="15.75" customHeight="1" x14ac:dyDescent="0.3">
      <c r="C942" s="12"/>
    </row>
    <row r="943" spans="3:3" ht="15.75" customHeight="1" x14ac:dyDescent="0.3">
      <c r="C943" s="12"/>
    </row>
    <row r="944" spans="3:3" ht="15.75" customHeight="1" x14ac:dyDescent="0.3">
      <c r="C944" s="12"/>
    </row>
    <row r="945" spans="3:3" ht="15.75" customHeight="1" x14ac:dyDescent="0.3">
      <c r="C945" s="12"/>
    </row>
    <row r="946" spans="3:3" ht="15.75" customHeight="1" x14ac:dyDescent="0.3">
      <c r="C946" s="12"/>
    </row>
    <row r="947" spans="3:3" ht="15.75" customHeight="1" x14ac:dyDescent="0.3">
      <c r="C947" s="12"/>
    </row>
    <row r="948" spans="3:3" ht="15.75" customHeight="1" x14ac:dyDescent="0.3">
      <c r="C948" s="12"/>
    </row>
    <row r="949" spans="3:3" ht="15.75" customHeight="1" x14ac:dyDescent="0.3">
      <c r="C949" s="12"/>
    </row>
    <row r="950" spans="3:3" ht="15.75" customHeight="1" x14ac:dyDescent="0.3">
      <c r="C950" s="12"/>
    </row>
    <row r="951" spans="3:3" ht="15.75" customHeight="1" x14ac:dyDescent="0.3">
      <c r="C951" s="12"/>
    </row>
    <row r="952" spans="3:3" ht="15.75" customHeight="1" x14ac:dyDescent="0.3">
      <c r="C952" s="12"/>
    </row>
    <row r="953" spans="3:3" ht="15.75" customHeight="1" x14ac:dyDescent="0.3">
      <c r="C953" s="12"/>
    </row>
    <row r="954" spans="3:3" ht="15.75" customHeight="1" x14ac:dyDescent="0.3">
      <c r="C954" s="12"/>
    </row>
    <row r="955" spans="3:3" ht="15.75" customHeight="1" x14ac:dyDescent="0.3">
      <c r="C955" s="12"/>
    </row>
    <row r="956" spans="3:3" ht="15.75" customHeight="1" x14ac:dyDescent="0.3">
      <c r="C956" s="12"/>
    </row>
    <row r="957" spans="3:3" ht="15.75" customHeight="1" x14ac:dyDescent="0.3">
      <c r="C957" s="12"/>
    </row>
    <row r="958" spans="3:3" ht="15.75" customHeight="1" x14ac:dyDescent="0.3">
      <c r="C958" s="12"/>
    </row>
    <row r="959" spans="3:3" ht="15.75" customHeight="1" x14ac:dyDescent="0.3">
      <c r="C959" s="12"/>
    </row>
    <row r="960" spans="3:3" ht="15.75" customHeight="1" x14ac:dyDescent="0.3">
      <c r="C960" s="12"/>
    </row>
    <row r="961" spans="3:3" ht="15.75" customHeight="1" x14ac:dyDescent="0.3">
      <c r="C961" s="12"/>
    </row>
    <row r="962" spans="3:3" ht="15.75" customHeight="1" x14ac:dyDescent="0.3">
      <c r="C962" s="12"/>
    </row>
    <row r="963" spans="3:3" ht="15.75" customHeight="1" x14ac:dyDescent="0.3">
      <c r="C963" s="12"/>
    </row>
    <row r="964" spans="3:3" ht="15.75" customHeight="1" x14ac:dyDescent="0.3">
      <c r="C964" s="12"/>
    </row>
    <row r="965" spans="3:3" ht="15.75" customHeight="1" x14ac:dyDescent="0.3">
      <c r="C965" s="12"/>
    </row>
    <row r="966" spans="3:3" ht="15.75" customHeight="1" x14ac:dyDescent="0.3">
      <c r="C966" s="12"/>
    </row>
    <row r="967" spans="3:3" ht="15.75" customHeight="1" x14ac:dyDescent="0.3">
      <c r="C967" s="12"/>
    </row>
    <row r="968" spans="3:3" ht="15.75" customHeight="1" x14ac:dyDescent="0.3">
      <c r="C968" s="12"/>
    </row>
    <row r="969" spans="3:3" ht="15.75" customHeight="1" x14ac:dyDescent="0.3">
      <c r="C969" s="12"/>
    </row>
    <row r="970" spans="3:3" ht="15.75" customHeight="1" x14ac:dyDescent="0.3">
      <c r="C970" s="12"/>
    </row>
    <row r="971" spans="3:3" ht="15.75" customHeight="1" x14ac:dyDescent="0.3">
      <c r="C971" s="12"/>
    </row>
    <row r="972" spans="3:3" ht="15.75" customHeight="1" x14ac:dyDescent="0.3">
      <c r="C972" s="12"/>
    </row>
    <row r="973" spans="3:3" ht="15.75" customHeight="1" x14ac:dyDescent="0.3">
      <c r="C973" s="12"/>
    </row>
    <row r="974" spans="3:3" ht="15.75" customHeight="1" x14ac:dyDescent="0.3">
      <c r="C974" s="12"/>
    </row>
    <row r="975" spans="3:3" ht="15.75" customHeight="1" x14ac:dyDescent="0.3">
      <c r="C975" s="12"/>
    </row>
    <row r="976" spans="3:3" ht="15.75" customHeight="1" x14ac:dyDescent="0.3">
      <c r="C976" s="12"/>
    </row>
    <row r="977" spans="3:3" ht="15.75" customHeight="1" x14ac:dyDescent="0.3">
      <c r="C977" s="12"/>
    </row>
    <row r="978" spans="3:3" ht="15.75" customHeight="1" x14ac:dyDescent="0.3">
      <c r="C978" s="12"/>
    </row>
    <row r="979" spans="3:3" ht="15.75" customHeight="1" x14ac:dyDescent="0.3">
      <c r="C979" s="12"/>
    </row>
    <row r="980" spans="3:3" ht="15.75" customHeight="1" x14ac:dyDescent="0.3">
      <c r="C980" s="12"/>
    </row>
    <row r="981" spans="3:3" ht="15.75" customHeight="1" x14ac:dyDescent="0.3">
      <c r="C981" s="12"/>
    </row>
    <row r="982" spans="3:3" ht="15.75" customHeight="1" x14ac:dyDescent="0.3">
      <c r="C982" s="12"/>
    </row>
    <row r="983" spans="3:3" ht="15.75" customHeight="1" x14ac:dyDescent="0.3">
      <c r="C983" s="12"/>
    </row>
    <row r="984" spans="3:3" ht="15.75" customHeight="1" x14ac:dyDescent="0.3">
      <c r="C984" s="12"/>
    </row>
    <row r="985" spans="3:3" ht="15.75" customHeight="1" x14ac:dyDescent="0.3">
      <c r="C985" s="12"/>
    </row>
    <row r="986" spans="3:3" ht="15.75" customHeight="1" x14ac:dyDescent="0.3">
      <c r="C986" s="12"/>
    </row>
    <row r="987" spans="3:3" ht="15.75" customHeight="1" x14ac:dyDescent="0.3">
      <c r="C987" s="12"/>
    </row>
    <row r="988" spans="3:3" ht="15.75" customHeight="1" x14ac:dyDescent="0.3">
      <c r="C988" s="12"/>
    </row>
    <row r="989" spans="3:3" ht="15.75" customHeight="1" x14ac:dyDescent="0.3">
      <c r="C989" s="12"/>
    </row>
    <row r="990" spans="3:3" ht="15.75" customHeight="1" x14ac:dyDescent="0.3">
      <c r="C990" s="12"/>
    </row>
    <row r="991" spans="3:3" ht="15.75" customHeight="1" x14ac:dyDescent="0.3">
      <c r="C991" s="12"/>
    </row>
    <row r="992" spans="3:3" ht="15.75" customHeight="1" x14ac:dyDescent="0.3">
      <c r="C992" s="12"/>
    </row>
    <row r="993" spans="3:3" ht="15.75" customHeight="1" x14ac:dyDescent="0.3">
      <c r="C993" s="12"/>
    </row>
    <row r="994" spans="3:3" ht="15.75" customHeight="1" x14ac:dyDescent="0.3">
      <c r="C994" s="12"/>
    </row>
    <row r="995" spans="3:3" ht="15.75" customHeight="1" x14ac:dyDescent="0.3">
      <c r="C995" s="12"/>
    </row>
    <row r="996" spans="3:3" ht="15.75" customHeight="1" x14ac:dyDescent="0.3">
      <c r="C996" s="12"/>
    </row>
    <row r="997" spans="3:3" ht="15.75" customHeight="1" x14ac:dyDescent="0.3">
      <c r="C997" s="12"/>
    </row>
    <row r="998" spans="3:3" ht="15.75" customHeight="1" x14ac:dyDescent="0.3">
      <c r="C998" s="12"/>
    </row>
    <row r="999" spans="3:3" ht="15.75" customHeight="1" x14ac:dyDescent="0.3">
      <c r="C999" s="12"/>
    </row>
    <row r="1000" spans="3:3" ht="15.75" customHeight="1" x14ac:dyDescent="0.3">
      <c r="C1000" s="12"/>
    </row>
  </sheetData>
  <mergeCells count="8">
    <mergeCell ref="Y38:AA38"/>
    <mergeCell ref="N41:O41"/>
    <mergeCell ref="N43:O43"/>
    <mergeCell ref="N44:O44"/>
    <mergeCell ref="A2:G2"/>
    <mergeCell ref="A3:I3"/>
    <mergeCell ref="U3:W3"/>
    <mergeCell ref="A4:G4"/>
  </mergeCells>
  <conditionalFormatting sqref="K7:K37">
    <cfRule type="cellIs" dxfId="40" priority="34" operator="greaterThan">
      <formula>449</formula>
    </cfRule>
  </conditionalFormatting>
  <conditionalFormatting sqref="L7:L37">
    <cfRule type="cellIs" dxfId="39" priority="35" operator="between">
      <formula>17</formula>
      <formula>24</formula>
    </cfRule>
  </conditionalFormatting>
  <conditionalFormatting sqref="J7:N37">
    <cfRule type="expression" dxfId="38" priority="36">
      <formula>ISERROR(J7)</formula>
    </cfRule>
  </conditionalFormatting>
  <conditionalFormatting sqref="M7:M37">
    <cfRule type="cellIs" dxfId="37" priority="37" operator="between">
      <formula>5.9</formula>
      <formula>10</formula>
    </cfRule>
  </conditionalFormatting>
  <conditionalFormatting sqref="J7:J37">
    <cfRule type="cellIs" dxfId="36" priority="38" operator="greaterThanOrEqual">
      <formula>13.1</formula>
    </cfRule>
  </conditionalFormatting>
  <conditionalFormatting sqref="U7:W38">
    <cfRule type="expression" dxfId="35" priority="39">
      <formula>ISERROR(U7)</formula>
    </cfRule>
  </conditionalFormatting>
  <conditionalFormatting sqref="G7:G37">
    <cfRule type="notContainsBlanks" dxfId="34" priority="40">
      <formula>LEN(TRIM(G7))&gt;0</formula>
    </cfRule>
  </conditionalFormatting>
  <conditionalFormatting sqref="C23:F23 C22:D22 F7:F22 D24 F24 B25:F27 B35:F37 B34:D34 F34 B28:D28 B31:F31 B33:F33 B32:D32 F32 F28:F30 C29:D30">
    <cfRule type="containsText" dxfId="33" priority="41" operator="containsText" text="ABSENT">
      <formula>NOT(ISERROR(SEARCH(("ABSENT"),(B7))))</formula>
    </cfRule>
  </conditionalFormatting>
  <conditionalFormatting sqref="B25:B28 B31:B37">
    <cfRule type="cellIs" dxfId="32" priority="42" operator="greaterThan">
      <formula>$S$4</formula>
    </cfRule>
  </conditionalFormatting>
  <conditionalFormatting sqref="B25:B28 B31:B37">
    <cfRule type="cellIs" dxfId="31" priority="43" operator="between">
      <formula>$K$4</formula>
      <formula>$S$4</formula>
    </cfRule>
  </conditionalFormatting>
  <conditionalFormatting sqref="H17">
    <cfRule type="containsText" dxfId="30" priority="31" operator="containsText" text="ABSENT">
      <formula>NOT(ISERROR(SEARCH(("ABSENT"),(H17))))</formula>
    </cfRule>
  </conditionalFormatting>
  <conditionalFormatting sqref="H17">
    <cfRule type="cellIs" dxfId="29" priority="32" operator="greaterThan">
      <formula>$S$4</formula>
    </cfRule>
  </conditionalFormatting>
  <conditionalFormatting sqref="H17">
    <cfRule type="cellIs" dxfId="28" priority="33" operator="between">
      <formula>$K$4</formula>
      <formula>$S$4</formula>
    </cfRule>
  </conditionalFormatting>
  <conditionalFormatting sqref="C19:C20 C7:D17 D18:D21">
    <cfRule type="containsText" dxfId="27" priority="28" operator="containsText" text="ABSENT">
      <formula>NOT(ISERROR(SEARCH(("ABSENT"),(C7))))</formula>
    </cfRule>
  </conditionalFormatting>
  <conditionalFormatting sqref="B7:B20 B22:B23">
    <cfRule type="containsText" dxfId="26" priority="25" operator="containsText" text="ABSENT">
      <formula>NOT(ISERROR(SEARCH(("ABSENT"),(B7))))</formula>
    </cfRule>
  </conditionalFormatting>
  <conditionalFormatting sqref="B7:B20 B22:B23">
    <cfRule type="cellIs" dxfId="25" priority="26" operator="greaterThan">
      <formula>$S$4</formula>
    </cfRule>
  </conditionalFormatting>
  <conditionalFormatting sqref="B7:B20 B22:B23">
    <cfRule type="cellIs" dxfId="24" priority="27" operator="between">
      <formula>$K$4</formula>
      <formula>$S$4</formula>
    </cfRule>
  </conditionalFormatting>
  <conditionalFormatting sqref="E7:E22">
    <cfRule type="containsText" dxfId="23" priority="24" operator="containsText" text="ABSENT">
      <formula>NOT(ISERROR(SEARCH(("ABSENT"),(E7))))</formula>
    </cfRule>
  </conditionalFormatting>
  <conditionalFormatting sqref="H24">
    <cfRule type="containsText" dxfId="22" priority="21" operator="containsText" text="ABSENT">
      <formula>NOT(ISERROR(SEARCH(("ABSENT"),(H24))))</formula>
    </cfRule>
  </conditionalFormatting>
  <conditionalFormatting sqref="H24">
    <cfRule type="cellIs" dxfId="21" priority="22" operator="greaterThan">
      <formula>$S$4</formula>
    </cfRule>
  </conditionalFormatting>
  <conditionalFormatting sqref="H24">
    <cfRule type="cellIs" dxfId="20" priority="23" operator="between">
      <formula>$K$4</formula>
      <formula>$S$4</formula>
    </cfRule>
  </conditionalFormatting>
  <conditionalFormatting sqref="I24">
    <cfRule type="containsText" dxfId="19" priority="20" operator="containsText" text="ABSENT">
      <formula>NOT(ISERROR(SEARCH(("ABSENT"),(I24))))</formula>
    </cfRule>
  </conditionalFormatting>
  <conditionalFormatting sqref="B24">
    <cfRule type="containsText" dxfId="18" priority="17" operator="containsText" text="ABSENT">
      <formula>NOT(ISERROR(SEARCH(("ABSENT"),(B24))))</formula>
    </cfRule>
  </conditionalFormatting>
  <conditionalFormatting sqref="B24">
    <cfRule type="cellIs" dxfId="17" priority="18" operator="greaterThan">
      <formula>$S$4</formula>
    </cfRule>
  </conditionalFormatting>
  <conditionalFormatting sqref="B24">
    <cfRule type="cellIs" dxfId="16" priority="19" operator="between">
      <formula>$K$4</formula>
      <formula>$S$4</formula>
    </cfRule>
  </conditionalFormatting>
  <conditionalFormatting sqref="C24">
    <cfRule type="containsText" dxfId="15" priority="16" operator="containsText" text="ABSENT">
      <formula>NOT(ISERROR(SEARCH(("ABSENT"),(C24))))</formula>
    </cfRule>
  </conditionalFormatting>
  <conditionalFormatting sqref="E24">
    <cfRule type="containsText" dxfId="14" priority="15" operator="containsText" text="ABSENT">
      <formula>NOT(ISERROR(SEARCH(("ABSENT"),(E24))))</formula>
    </cfRule>
  </conditionalFormatting>
  <conditionalFormatting sqref="E28:E30">
    <cfRule type="containsText" dxfId="13" priority="14" operator="containsText" text="ABSENT">
      <formula>NOT(ISERROR(SEARCH(("ABSENT"),(E28))))</formula>
    </cfRule>
  </conditionalFormatting>
  <conditionalFormatting sqref="H30:H31">
    <cfRule type="containsText" dxfId="12" priority="11" operator="containsText" text="ABSENT">
      <formula>NOT(ISERROR(SEARCH(("ABSENT"),(H30))))</formula>
    </cfRule>
  </conditionalFormatting>
  <conditionalFormatting sqref="H30:H31">
    <cfRule type="cellIs" dxfId="11" priority="12" operator="greaterThan">
      <formula>$S$4</formula>
    </cfRule>
  </conditionalFormatting>
  <conditionalFormatting sqref="H30:H31">
    <cfRule type="cellIs" dxfId="10" priority="13" operator="between">
      <formula>$K$4</formula>
      <formula>$S$4</formula>
    </cfRule>
  </conditionalFormatting>
  <conditionalFormatting sqref="I30:I31">
    <cfRule type="containsText" dxfId="9" priority="10" operator="containsText" text="ABSENT">
      <formula>NOT(ISERROR(SEARCH(("ABSENT"),(I30))))</formula>
    </cfRule>
  </conditionalFormatting>
  <conditionalFormatting sqref="E34">
    <cfRule type="containsText" dxfId="8" priority="9" operator="containsText" text="ABSENT">
      <formula>NOT(ISERROR(SEARCH(("ABSENT"),(E34))))</formula>
    </cfRule>
  </conditionalFormatting>
  <conditionalFormatting sqref="C21">
    <cfRule type="containsText" dxfId="7" priority="8" operator="containsText" text="ABSENT">
      <formula>NOT(ISERROR(SEARCH(("ABSENT"),(C21))))</formula>
    </cfRule>
  </conditionalFormatting>
  <conditionalFormatting sqref="E32">
    <cfRule type="containsText" dxfId="6" priority="7" operator="containsText" text="ABSENT">
      <formula>NOT(ISERROR(SEARCH(("ABSENT"),(E32))))</formula>
    </cfRule>
  </conditionalFormatting>
  <conditionalFormatting sqref="B29:B30">
    <cfRule type="containsText" dxfId="5" priority="4" operator="containsText" text="ABSENT">
      <formula>NOT(ISERROR(SEARCH(("ABSENT"),(B29))))</formula>
    </cfRule>
  </conditionalFormatting>
  <conditionalFormatting sqref="B29:B30">
    <cfRule type="cellIs" dxfId="4" priority="5" operator="greaterThan">
      <formula>$S$4</formula>
    </cfRule>
  </conditionalFormatting>
  <conditionalFormatting sqref="B29:B30">
    <cfRule type="cellIs" dxfId="3" priority="6" operator="between">
      <formula>$K$4</formula>
      <formula>$S$4</formula>
    </cfRule>
  </conditionalFormatting>
  <conditionalFormatting sqref="B21">
    <cfRule type="containsText" dxfId="2" priority="1" operator="containsText" text="ABSENT">
      <formula>NOT(ISERROR(SEARCH(("ABSENT"),(B21))))</formula>
    </cfRule>
  </conditionalFormatting>
  <conditionalFormatting sqref="B21">
    <cfRule type="cellIs" dxfId="1" priority="2" operator="greaterThan">
      <formula>$S$4</formula>
    </cfRule>
  </conditionalFormatting>
  <conditionalFormatting sqref="B21">
    <cfRule type="cellIs" dxfId="0" priority="3" operator="between">
      <formula>$K$4</formula>
      <formula>$S$4</formula>
    </cfRule>
  </conditionalFormatting>
  <pageMargins left="0.7" right="0.7" top="0.75" bottom="0.75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DTR2021_26days</vt:lpstr>
      <vt:lpstr>DTR2021_30days</vt:lpstr>
      <vt:lpstr>DATE</vt:lpstr>
      <vt:lpstr>Freedom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erwin</cp:lastModifiedBy>
  <dcterms:created xsi:type="dcterms:W3CDTF">2018-06-19T23:07:47Z</dcterms:created>
  <dcterms:modified xsi:type="dcterms:W3CDTF">2026-02-20T07:41:50Z</dcterms:modified>
</cp:coreProperties>
</file>