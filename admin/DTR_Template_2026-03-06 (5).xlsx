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455590D-A11B-49EC-A140-DAFE262AABD8}" xr6:coauthVersionLast="47" xr6:coauthVersionMax="47" xr10:uidLastSave="{00000000-0000-0000-0000-000000000000}"/>
  <bookViews>
    <workbookView xWindow="6090" yWindow="3345" windowWidth="21600" windowHeight="11295" xr2:uid="{00000000-000D-0000-FFFF-FFFF00000000}"/>
  </bookViews>
  <sheets>
    <sheet name="DTR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0" i="1"/>
  <c r="T37" i="1"/>
  <c r="S36" i="1"/>
  <c r="Q36" i="1"/>
  <c r="M36" i="1"/>
  <c r="L36" i="1"/>
  <c r="K36" i="1"/>
  <c r="J36" i="1"/>
  <c r="I36" i="1"/>
  <c r="R36" i="1" s="1"/>
  <c r="H36" i="1"/>
  <c r="G36" i="1"/>
  <c r="N36" i="1" s="1"/>
  <c r="S35" i="1"/>
  <c r="O35" i="1"/>
  <c r="P35" i="1" s="1"/>
  <c r="U35" i="1" s="1"/>
  <c r="N35" i="1"/>
  <c r="M35" i="1"/>
  <c r="L35" i="1"/>
  <c r="K35" i="1"/>
  <c r="J35" i="1"/>
  <c r="I35" i="1"/>
  <c r="R35" i="1" s="1"/>
  <c r="H35" i="1"/>
  <c r="Q35" i="1" s="1"/>
  <c r="G35" i="1"/>
  <c r="S34" i="1"/>
  <c r="R34" i="1"/>
  <c r="Q34" i="1"/>
  <c r="M34" i="1"/>
  <c r="L34" i="1"/>
  <c r="K34" i="1"/>
  <c r="J34" i="1"/>
  <c r="I34" i="1"/>
  <c r="H34" i="1"/>
  <c r="G34" i="1"/>
  <c r="N34" i="1" s="1"/>
  <c r="Q33" i="1"/>
  <c r="M33" i="1"/>
  <c r="L33" i="1"/>
  <c r="K33" i="1"/>
  <c r="J33" i="1"/>
  <c r="S33" i="1" s="1"/>
  <c r="I33" i="1"/>
  <c r="R33" i="1" s="1"/>
  <c r="H33" i="1"/>
  <c r="G33" i="1"/>
  <c r="N33" i="1" s="1"/>
  <c r="S32" i="1"/>
  <c r="R32" i="1"/>
  <c r="O32" i="1"/>
  <c r="M32" i="1"/>
  <c r="L32" i="1"/>
  <c r="K32" i="1"/>
  <c r="J32" i="1"/>
  <c r="I32" i="1"/>
  <c r="H32" i="1"/>
  <c r="Q32" i="1" s="1"/>
  <c r="G32" i="1"/>
  <c r="N32" i="1" s="1"/>
  <c r="S31" i="1"/>
  <c r="R31" i="1"/>
  <c r="Q31" i="1"/>
  <c r="M31" i="1"/>
  <c r="L31" i="1"/>
  <c r="K31" i="1"/>
  <c r="J31" i="1"/>
  <c r="I31" i="1"/>
  <c r="H31" i="1"/>
  <c r="G31" i="1"/>
  <c r="N31" i="1" s="1"/>
  <c r="S30" i="1"/>
  <c r="O30" i="1"/>
  <c r="N30" i="1"/>
  <c r="M30" i="1"/>
  <c r="L30" i="1"/>
  <c r="K30" i="1"/>
  <c r="J30" i="1"/>
  <c r="I30" i="1"/>
  <c r="R30" i="1" s="1"/>
  <c r="H30" i="1"/>
  <c r="Q30" i="1" s="1"/>
  <c r="G30" i="1"/>
  <c r="S29" i="1"/>
  <c r="R29" i="1"/>
  <c r="Q29" i="1"/>
  <c r="O29" i="1"/>
  <c r="N29" i="1"/>
  <c r="M29" i="1"/>
  <c r="L29" i="1"/>
  <c r="K29" i="1"/>
  <c r="J29" i="1"/>
  <c r="I29" i="1"/>
  <c r="H29" i="1"/>
  <c r="G29" i="1"/>
  <c r="Q28" i="1"/>
  <c r="M28" i="1"/>
  <c r="L28" i="1"/>
  <c r="K28" i="1"/>
  <c r="J28" i="1"/>
  <c r="S28" i="1" s="1"/>
  <c r="I28" i="1"/>
  <c r="R28" i="1" s="1"/>
  <c r="H28" i="1"/>
  <c r="G28" i="1"/>
  <c r="N28" i="1" s="1"/>
  <c r="N27" i="1"/>
  <c r="M27" i="1"/>
  <c r="L27" i="1"/>
  <c r="K27" i="1"/>
  <c r="J27" i="1"/>
  <c r="S27" i="1" s="1"/>
  <c r="I27" i="1"/>
  <c r="R27" i="1" s="1"/>
  <c r="H27" i="1"/>
  <c r="Q27" i="1" s="1"/>
  <c r="G27" i="1"/>
  <c r="S26" i="1"/>
  <c r="R26" i="1"/>
  <c r="M26" i="1"/>
  <c r="L26" i="1"/>
  <c r="K26" i="1"/>
  <c r="J26" i="1"/>
  <c r="I26" i="1"/>
  <c r="H26" i="1"/>
  <c r="Q26" i="1" s="1"/>
  <c r="G26" i="1"/>
  <c r="N26" i="1" s="1"/>
  <c r="Q25" i="1"/>
  <c r="N25" i="1"/>
  <c r="M25" i="1"/>
  <c r="L25" i="1"/>
  <c r="K25" i="1"/>
  <c r="J25" i="1"/>
  <c r="S25" i="1" s="1"/>
  <c r="I25" i="1"/>
  <c r="R25" i="1" s="1"/>
  <c r="H25" i="1"/>
  <c r="G25" i="1"/>
  <c r="S24" i="1"/>
  <c r="R24" i="1"/>
  <c r="O24" i="1"/>
  <c r="P24" i="1" s="1"/>
  <c r="U24" i="1" s="1"/>
  <c r="M24" i="1"/>
  <c r="L24" i="1"/>
  <c r="K24" i="1"/>
  <c r="J24" i="1"/>
  <c r="I24" i="1"/>
  <c r="H24" i="1"/>
  <c r="Q24" i="1" s="1"/>
  <c r="G24" i="1"/>
  <c r="N24" i="1" s="1"/>
  <c r="R23" i="1"/>
  <c r="Q23" i="1"/>
  <c r="M23" i="1"/>
  <c r="L23" i="1"/>
  <c r="K23" i="1"/>
  <c r="J23" i="1"/>
  <c r="S23" i="1" s="1"/>
  <c r="I23" i="1"/>
  <c r="H23" i="1"/>
  <c r="G23" i="1"/>
  <c r="N23" i="1" s="1"/>
  <c r="S22" i="1"/>
  <c r="O22" i="1"/>
  <c r="N22" i="1"/>
  <c r="M22" i="1"/>
  <c r="L22" i="1"/>
  <c r="K22" i="1"/>
  <c r="J22" i="1"/>
  <c r="I22" i="1"/>
  <c r="R22" i="1" s="1"/>
  <c r="H22" i="1"/>
  <c r="Q22" i="1" s="1"/>
  <c r="G22" i="1"/>
  <c r="S21" i="1"/>
  <c r="R21" i="1"/>
  <c r="Q21" i="1"/>
  <c r="O21" i="1"/>
  <c r="N21" i="1"/>
  <c r="M21" i="1"/>
  <c r="L21" i="1"/>
  <c r="K21" i="1"/>
  <c r="J21" i="1"/>
  <c r="I21" i="1"/>
  <c r="H21" i="1"/>
  <c r="G21" i="1"/>
  <c r="Q20" i="1"/>
  <c r="M20" i="1"/>
  <c r="L20" i="1"/>
  <c r="K20" i="1"/>
  <c r="J20" i="1"/>
  <c r="S20" i="1" s="1"/>
  <c r="I20" i="1"/>
  <c r="R20" i="1" s="1"/>
  <c r="H20" i="1"/>
  <c r="G20" i="1"/>
  <c r="N20" i="1" s="1"/>
  <c r="N19" i="1"/>
  <c r="M19" i="1"/>
  <c r="L19" i="1"/>
  <c r="K19" i="1"/>
  <c r="J19" i="1"/>
  <c r="S19" i="1" s="1"/>
  <c r="I19" i="1"/>
  <c r="R19" i="1" s="1"/>
  <c r="H19" i="1"/>
  <c r="Q19" i="1" s="1"/>
  <c r="G19" i="1"/>
  <c r="S18" i="1"/>
  <c r="R18" i="1"/>
  <c r="M18" i="1"/>
  <c r="L18" i="1"/>
  <c r="K18" i="1"/>
  <c r="J18" i="1"/>
  <c r="I18" i="1"/>
  <c r="H18" i="1"/>
  <c r="Q18" i="1" s="1"/>
  <c r="G18" i="1"/>
  <c r="N18" i="1" s="1"/>
  <c r="Q17" i="1"/>
  <c r="N17" i="1"/>
  <c r="M17" i="1"/>
  <c r="L17" i="1"/>
  <c r="K17" i="1"/>
  <c r="J17" i="1"/>
  <c r="S17" i="1" s="1"/>
  <c r="I17" i="1"/>
  <c r="R17" i="1" s="1"/>
  <c r="H17" i="1"/>
  <c r="G17" i="1"/>
  <c r="S16" i="1"/>
  <c r="R16" i="1"/>
  <c r="O16" i="1"/>
  <c r="P16" i="1" s="1"/>
  <c r="U16" i="1" s="1"/>
  <c r="M16" i="1"/>
  <c r="L16" i="1"/>
  <c r="K16" i="1"/>
  <c r="J16" i="1"/>
  <c r="I16" i="1"/>
  <c r="H16" i="1"/>
  <c r="Q16" i="1" s="1"/>
  <c r="G16" i="1"/>
  <c r="N16" i="1" s="1"/>
  <c r="R15" i="1"/>
  <c r="Q15" i="1"/>
  <c r="M15" i="1"/>
  <c r="L15" i="1"/>
  <c r="K15" i="1"/>
  <c r="J15" i="1"/>
  <c r="S15" i="1" s="1"/>
  <c r="I15" i="1"/>
  <c r="H15" i="1"/>
  <c r="G15" i="1"/>
  <c r="N15" i="1" s="1"/>
  <c r="S14" i="1"/>
  <c r="O14" i="1"/>
  <c r="N14" i="1"/>
  <c r="M14" i="1"/>
  <c r="L14" i="1"/>
  <c r="K14" i="1"/>
  <c r="J14" i="1"/>
  <c r="I14" i="1"/>
  <c r="R14" i="1" s="1"/>
  <c r="H14" i="1"/>
  <c r="Q14" i="1" s="1"/>
  <c r="G14" i="1"/>
  <c r="S13" i="1"/>
  <c r="R13" i="1"/>
  <c r="Q13" i="1"/>
  <c r="O13" i="1"/>
  <c r="N13" i="1"/>
  <c r="M13" i="1"/>
  <c r="L13" i="1"/>
  <c r="K13" i="1"/>
  <c r="J13" i="1"/>
  <c r="I13" i="1"/>
  <c r="H13" i="1"/>
  <c r="G13" i="1"/>
  <c r="R12" i="1"/>
  <c r="Q12" i="1"/>
  <c r="M12" i="1"/>
  <c r="L12" i="1"/>
  <c r="K12" i="1"/>
  <c r="J12" i="1"/>
  <c r="S12" i="1" s="1"/>
  <c r="I12" i="1"/>
  <c r="H12" i="1"/>
  <c r="G12" i="1"/>
  <c r="N12" i="1" s="1"/>
  <c r="N11" i="1"/>
  <c r="M11" i="1"/>
  <c r="L11" i="1"/>
  <c r="K11" i="1"/>
  <c r="J11" i="1"/>
  <c r="S11" i="1" s="1"/>
  <c r="I11" i="1"/>
  <c r="R11" i="1" s="1"/>
  <c r="H11" i="1"/>
  <c r="Q11" i="1" s="1"/>
  <c r="G11" i="1"/>
  <c r="S10" i="1"/>
  <c r="R10" i="1"/>
  <c r="M10" i="1"/>
  <c r="L10" i="1"/>
  <c r="K10" i="1"/>
  <c r="J10" i="1"/>
  <c r="I10" i="1"/>
  <c r="H10" i="1"/>
  <c r="Q10" i="1" s="1"/>
  <c r="G10" i="1"/>
  <c r="N10" i="1" s="1"/>
  <c r="Q9" i="1"/>
  <c r="L9" i="1" s="1"/>
  <c r="K9" i="1"/>
  <c r="J9" i="1"/>
  <c r="S9" i="1" s="1"/>
  <c r="H9" i="1"/>
  <c r="G9" i="1"/>
  <c r="N9" i="1" s="1"/>
  <c r="S8" i="1"/>
  <c r="R8" i="1"/>
  <c r="M8" i="1"/>
  <c r="L8" i="1"/>
  <c r="K8" i="1"/>
  <c r="J8" i="1"/>
  <c r="I8" i="1"/>
  <c r="H8" i="1"/>
  <c r="Q8" i="1" s="1"/>
  <c r="G8" i="1"/>
  <c r="R7" i="1"/>
  <c r="Q7" i="1"/>
  <c r="M7" i="1"/>
  <c r="L7" i="1"/>
  <c r="K7" i="1"/>
  <c r="J7" i="1"/>
  <c r="S7" i="1" s="1"/>
  <c r="S37" i="1" s="1"/>
  <c r="I7" i="1"/>
  <c r="H7" i="1"/>
  <c r="G7" i="1"/>
  <c r="N7" i="1" s="1"/>
  <c r="S6" i="1"/>
  <c r="O6" i="1"/>
  <c r="P6" i="1" s="1"/>
  <c r="N6" i="1"/>
  <c r="M6" i="1"/>
  <c r="L6" i="1"/>
  <c r="K6" i="1"/>
  <c r="K37" i="1" s="1"/>
  <c r="J6" i="1"/>
  <c r="J37" i="1" s="1"/>
  <c r="I6" i="1"/>
  <c r="R6" i="1" s="1"/>
  <c r="H6" i="1"/>
  <c r="G6" i="1"/>
  <c r="L2" i="1"/>
  <c r="O27" i="1" s="1"/>
  <c r="P27" i="1" s="1"/>
  <c r="U27" i="1" s="1"/>
  <c r="I9" i="1" l="1"/>
  <c r="R9" i="1" s="1"/>
  <c r="M9" i="1" s="1"/>
  <c r="M37" i="1" s="1"/>
  <c r="H37" i="1"/>
  <c r="G37" i="1"/>
  <c r="P21" i="1"/>
  <c r="P18" i="1"/>
  <c r="U18" i="1" s="1"/>
  <c r="P26" i="1"/>
  <c r="U26" i="1" s="1"/>
  <c r="P10" i="1"/>
  <c r="U10" i="1" s="1"/>
  <c r="P13" i="1"/>
  <c r="U13" i="1" s="1"/>
  <c r="P32" i="1"/>
  <c r="U32" i="1" s="1"/>
  <c r="O10" i="1"/>
  <c r="O18" i="1"/>
  <c r="O26" i="1"/>
  <c r="O34" i="1"/>
  <c r="P34" i="1" s="1"/>
  <c r="U34" i="1" s="1"/>
  <c r="O7" i="1"/>
  <c r="O12" i="1"/>
  <c r="P12" i="1" s="1"/>
  <c r="U12" i="1" s="1"/>
  <c r="O15" i="1"/>
  <c r="P15" i="1" s="1"/>
  <c r="U15" i="1" s="1"/>
  <c r="O23" i="1"/>
  <c r="P23" i="1" s="1"/>
  <c r="U23" i="1" s="1"/>
  <c r="O31" i="1"/>
  <c r="P31" i="1" s="1"/>
  <c r="U31" i="1" s="1"/>
  <c r="O20" i="1"/>
  <c r="P20" i="1" s="1"/>
  <c r="U20" i="1" s="1"/>
  <c r="O28" i="1"/>
  <c r="P29" i="1"/>
  <c r="L37" i="1"/>
  <c r="O36" i="1"/>
  <c r="O9" i="1"/>
  <c r="O17" i="1"/>
  <c r="P17" i="1" s="1"/>
  <c r="U17" i="1" s="1"/>
  <c r="O25" i="1"/>
  <c r="P25" i="1" s="1"/>
  <c r="U25" i="1" s="1"/>
  <c r="O33" i="1"/>
  <c r="P33" i="1" s="1"/>
  <c r="U33" i="1" s="1"/>
  <c r="P30" i="1"/>
  <c r="U30" i="1" s="1"/>
  <c r="P14" i="1"/>
  <c r="U14" i="1" s="1"/>
  <c r="P22" i="1"/>
  <c r="U22" i="1" s="1"/>
  <c r="O11" i="1"/>
  <c r="P11" i="1" s="1"/>
  <c r="U11" i="1" s="1"/>
  <c r="O8" i="1"/>
  <c r="O19" i="1"/>
  <c r="P19" i="1" s="1"/>
  <c r="U19" i="1" s="1"/>
  <c r="U21" i="1"/>
  <c r="U6" i="1"/>
  <c r="U29" i="1"/>
  <c r="P7" i="1"/>
  <c r="N37" i="1"/>
  <c r="U7" i="1"/>
  <c r="P28" i="1"/>
  <c r="U28" i="1" s="1"/>
  <c r="P36" i="1"/>
  <c r="U36" i="1" s="1"/>
  <c r="N8" i="1"/>
  <c r="Q6" i="1"/>
  <c r="Q37" i="1" s="1"/>
  <c r="I37" i="1" l="1"/>
  <c r="B42" i="1"/>
  <c r="R37" i="1"/>
  <c r="P9" i="1"/>
  <c r="U9" i="1" s="1"/>
  <c r="P8" i="1"/>
  <c r="U8" i="1" s="1"/>
  <c r="U37" i="1" s="1"/>
  <c r="O37" i="1"/>
  <c r="B41" i="1" s="1"/>
  <c r="B45" i="1" l="1"/>
  <c r="P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" authorId="0" shapeId="0" xr:uid="{00000000-0006-0000-0000-000007000000}">
      <text>
        <r>
          <rPr>
            <sz val="11"/>
            <color rgb="FF000000"/>
            <rFont val="Calibri"/>
          </rPr>
          <t>Enter Basic Monthly Salary here (reference only — does not affect calculations)</t>
        </r>
      </text>
    </comment>
    <comment ref="J2" authorId="0" shapeId="0" xr:uid="{00000000-0006-0000-0000-000008000000}">
      <text>
        <r>
          <rPr>
            <sz val="11"/>
            <color rgb="FF000000"/>
            <rFont val="Calibri"/>
          </rPr>
          <t>Enter Per Day Rate here (e.g. 500.00). This drives all deduction and salary calculations.</t>
        </r>
      </text>
    </comment>
    <comment ref="B6" authorId="0" shapeId="0" xr:uid="{00000000-0006-0000-0000-000001000000}">
      <text>
        <r>
          <rPr>
            <sz val="11"/>
            <color rgb="FF000000"/>
            <rFont val="Calibri"/>
          </rPr>
          <t>Enter AM IN time (h:mm, e.g. 8:00)</t>
        </r>
      </text>
    </comment>
    <comment ref="C6" authorId="0" shapeId="0" xr:uid="{00000000-0006-0000-0000-000002000000}">
      <text>
        <r>
          <rPr>
            <sz val="11"/>
            <color rgb="FF000000"/>
            <rFont val="Calibri"/>
          </rPr>
          <t>Enter PM OUT time (h:mm, e.g. 17:00)</t>
        </r>
      </text>
    </comment>
    <comment ref="D6" authorId="0" shapeId="0" xr:uid="{00000000-0006-0000-0000-000003000000}">
      <text>
        <r>
          <rPr>
            <sz val="11"/>
            <color rgb="FF000000"/>
            <rFont val="Calibri"/>
          </rPr>
          <t>Type X if employee is absent</t>
        </r>
      </text>
    </comment>
    <comment ref="E6" authorId="0" shapeId="0" xr:uid="{00000000-0006-0000-0000-000004000000}">
      <text>
        <r>
          <rPr>
            <sz val="11"/>
            <color rgb="FF000000"/>
            <rFont val="Calibri"/>
          </rPr>
          <t>Type X if training day</t>
        </r>
      </text>
    </comment>
    <comment ref="F6" authorId="0" shapeId="0" xr:uid="{00000000-0006-0000-0000-000005000000}">
      <text>
        <r>
          <rPr>
            <sz val="11"/>
            <color rgb="FF000000"/>
            <rFont val="Calibri"/>
          </rPr>
          <t>Enter OT OUT time if overtime (h:mm, e.g. 19:00)</t>
        </r>
      </text>
    </comment>
    <comment ref="T6" authorId="0" shapeId="0" xr:uid="{00000000-0006-0000-0000-000006000000}">
      <text>
        <r>
          <rPr>
            <sz val="11"/>
            <color rgb="FF000000"/>
            <rFont val="Calibri"/>
          </rPr>
          <t>Enter gov't deduction (SSS, PhilHealth, Pag-IBIG)</t>
        </r>
      </text>
    </comment>
  </commentList>
</comments>
</file>

<file path=xl/sharedStrings.xml><?xml version="1.0" encoding="utf-8"?>
<sst xmlns="http://schemas.openxmlformats.org/spreadsheetml/2006/main" count="148" uniqueCount="139">
  <si>
    <t>THE BIG FIVE TRAINING AND ASSESSMENT CENTER INC.</t>
  </si>
  <si>
    <t>PAYROLL PERIOD: _______________</t>
  </si>
  <si>
    <t>EMPLOYEE NAME:</t>
  </si>
  <si>
    <t>BASIC:</t>
  </si>
  <si>
    <t>PER/DAY:</t>
  </si>
  <si>
    <t>OT RATE:</t>
  </si>
  <si>
    <t>START:</t>
  </si>
  <si>
    <t>8:00</t>
  </si>
  <si>
    <t>END:</t>
  </si>
  <si>
    <t>17:00</t>
  </si>
  <si>
    <t>MO/YR</t>
  </si>
  <si>
    <t>AM IN</t>
  </si>
  <si>
    <t>PM OUT</t>
  </si>
  <si>
    <t>ABSENT</t>
  </si>
  <si>
    <t>TRAINING</t>
  </si>
  <si>
    <t>OT OUT</t>
  </si>
  <si>
    <t>TOT.WORK</t>
  </si>
  <si>
    <t>LATE</t>
  </si>
  <si>
    <t>UNDERTIME</t>
  </si>
  <si>
    <t>OT</t>
  </si>
  <si>
    <t>HALFDAY</t>
  </si>
  <si>
    <t>OT PAY</t>
  </si>
  <si>
    <t>MINUS OT TOTAL</t>
  </si>
  <si>
    <t>AUTOMATIC CALCULATIONS</t>
  </si>
  <si>
    <t>Government</t>
  </si>
  <si>
    <t>Net</t>
  </si>
  <si>
    <t>REMARKS</t>
  </si>
  <si>
    <t>DATE</t>
  </si>
  <si>
    <t>(in hours)</t>
  </si>
  <si>
    <t>(in mins)</t>
  </si>
  <si>
    <t>(in days)</t>
  </si>
  <si>
    <t>DEDUCT</t>
  </si>
  <si>
    <t>DEDUCTIONS</t>
  </si>
  <si>
    <t>LATE/min</t>
  </si>
  <si>
    <t>Benefits</t>
  </si>
  <si>
    <t>Salary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</si>
  <si>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</si>
  <si>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</si>
  <si>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</si>
  <si>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</si>
  <si>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</si>
  <si>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</si>
  <si>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</si>
  <si>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</si>
  <si>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</si>
  <si>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</si>
  <si>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</si>
  <si>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</si>
  <si>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</si>
  <si>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</si>
  <si>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</si>
  <si>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</si>
  <si>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</si>
  <si>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</si>
  <si>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</si>
  <si>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</si>
  <si>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</si>
  <si>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</si>
  <si>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</si>
  <si>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</si>
  <si>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</si>
  <si>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</si>
  <si>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</si>
  <si>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</si>
  <si>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3/29</t>
  </si>
  <si>
    <t>3/30</t>
  </si>
  <si>
    <t>3/31</t>
  </si>
  <si>
    <t>TOTALS:</t>
  </si>
  <si>
    <t>TRAINING PAYMENT</t>
  </si>
  <si>
    <t>Amount:</t>
  </si>
  <si>
    <t>Remarks:</t>
  </si>
  <si>
    <t>BASIC PAY (Semi-Monthly):</t>
  </si>
  <si>
    <t>OT PAY:</t>
  </si>
  <si>
    <t>DTR DEDUCTIONS (Late/Under/Halfday):</t>
  </si>
  <si>
    <t>GOV'T DEDUCTIONS (SSS+PhilHealth+Pag-IBIG):</t>
  </si>
  <si>
    <t>TRAINING PAYMENT:</t>
  </si>
  <si>
    <t>NET SALARY (Take Home):</t>
  </si>
  <si>
    <t>SSS</t>
  </si>
  <si>
    <t>PHILHEALTH</t>
  </si>
  <si>
    <t>PAGIBIG</t>
  </si>
  <si>
    <t>TB5 DTR Template — 22-Column Layout (A-V)</t>
  </si>
  <si>
    <t>HOW TO USE THIS TEMPLATE:</t>
  </si>
  <si>
    <t>1. Enter Employee Name in cell B2 (replace [ENTER NAME HERE])</t>
  </si>
  <si>
    <t>2. Enter Basic Monthly Salary in cell H2 (reference only — does not affect calculations)</t>
  </si>
  <si>
    <t>3. Enter Per Day Rate in cell J2 (green background — this drives all calculations)</t>
  </si>
  <si>
    <t xml:space="preserve">   → OT RATE auto-calculates in L2 as (Per Day / 8) × 1.25</t>
  </si>
  <si>
    <t>4. Fill in time data for each working day:</t>
  </si>
  <si>
    <t xml:space="preserve">   • Column B: AM IN (e.g. 8:00)</t>
  </si>
  <si>
    <t xml:space="preserve">   • Column C: PM OUT (e.g. 17:00)</t>
  </si>
  <si>
    <t xml:space="preserve">   • Column D: Type X if employee is absent</t>
  </si>
  <si>
    <t xml:space="preserve">   • Column E: Type X if training day</t>
  </si>
  <si>
    <t xml:space="preserve">   • Column F: OT OUT time if overtime (e.g. 19:00)</t>
  </si>
  <si>
    <t xml:space="preserve">   • Column T: Gov't deductions (SSS, PhilHealth, Pag-IBIG)</t>
  </si>
  <si>
    <t xml:space="preserve">   • Column V: Remarks</t>
  </si>
  <si>
    <t>5. All calculation columns (G-U) auto-compute via Excel formulas</t>
  </si>
  <si>
    <t>6. Summary section below row 37 shows NET SALARY breakdown</t>
  </si>
  <si>
    <t>COLUMN LAYOUT (A-V, 22 columns):</t>
  </si>
  <si>
    <t>A: DATE (auto-filled M/D format)</t>
  </si>
  <si>
    <t>B: AM IN (user input — time)</t>
  </si>
  <si>
    <t>C: PM OUT (user input — time)</t>
  </si>
  <si>
    <t>D: ABSENT — type X if absent</t>
  </si>
  <si>
    <t>E: TRAINING — type X if training day</t>
  </si>
  <si>
    <t>F: OT OUT — overtime out time (user input)</t>
  </si>
  <si>
    <t>G: TOT.WORK — total work hours (formula)</t>
  </si>
  <si>
    <t>H: LATE — late minutes (formula)</t>
  </si>
  <si>
    <t>I: UNDERTIME — undertime hours (formula)</t>
  </si>
  <si>
    <t>J: OT — overtime hours (formula)</t>
  </si>
  <si>
    <t>K: ABSENT — absent day count (formula)</t>
  </si>
  <si>
    <t>L: LATE DEDUCT (formula)</t>
  </si>
  <si>
    <t>M: UNDERTIME DEDUCT (formula)</t>
  </si>
  <si>
    <t>N: HALFDAY DEDUCT (formula)</t>
  </si>
  <si>
    <t>O: OT PAY (formula)</t>
  </si>
  <si>
    <t>P: MINUS OT TOTAL DEDUCTIONS — net of OT minus deductions (formula)</t>
  </si>
  <si>
    <t>Q: AUTO LATE/min — capped late (formula)</t>
  </si>
  <si>
    <t>R: AUTO UNDERTIME — capped undertime (formula)</t>
  </si>
  <si>
    <t>S: AUTO OT — overtime copy (formula)</t>
  </si>
  <si>
    <t>T: GOV'T BENEFITS — government deductions (user input)</t>
  </si>
  <si>
    <t>U: NET SALARY — daily net salary (formula)</t>
  </si>
  <si>
    <t>V: REMARKS (user input)</t>
  </si>
  <si>
    <t>RATE INPUT (Cells H2 and J2):</t>
  </si>
  <si>
    <t xml:space="preserve">  H2: Basic Monthly Salary (reference only — for information purposes)</t>
  </si>
  <si>
    <t xml:space="preserve">  J2: Per Day Rate (enter directly, e.g. 500.00)</t>
  </si>
  <si>
    <t xml:space="preserve">  L2: OT Rate = (Per Day / 8) × 1.25 (auto-calculated from J2)</t>
  </si>
  <si>
    <t>TRAINING PAYMENT (Row 38):</t>
  </si>
  <si>
    <t xml:space="preserve">  Enter training payment amount in cell F38</t>
  </si>
  <si>
    <t xml:space="preserve">  Enter training remarks in cell H38</t>
  </si>
  <si>
    <t>SUMMARY SECTION (Rows 40-45):</t>
  </si>
  <si>
    <t xml:space="preserve">  Row 40: Basic Pay = monthly salary (H2)</t>
  </si>
  <si>
    <t xml:space="preserve">  Row 41: OT Pay = sum of OT payments (O37)</t>
  </si>
  <si>
    <t xml:space="preserve">  Row 42: DTR Deductions = Late + Undertime + Halfday deductions</t>
  </si>
  <si>
    <t xml:space="preserve">  Row 43: Gov't Deductions (editable)</t>
  </si>
  <si>
    <t xml:space="preserve">  Row 44: Training Payment = amount from row 38</t>
  </si>
  <si>
    <t xml:space="preserve">  Row 45: NET SALARY = Basic + OT - DTR Ded - Gov't + Training</t>
  </si>
  <si>
    <t>IMPORTING THIS TEMPLATE:</t>
  </si>
  <si>
    <t xml:space="preserve">  Save and upload the filled template to the system.</t>
  </si>
  <si>
    <t xml:space="preserve">  The import reads: Date(A), AM IN(B), PM OUT(C), Absent(D), Training(E), OT OUT(F), Remarks(V)</t>
  </si>
  <si>
    <t xml:space="preserve">  Training Payment reads: Amount(F38), Remarks(H38)</t>
  </si>
  <si>
    <t xml:space="preserve">  Make sure times are in h:mm format (e.g. 8:00, 17:00)</t>
  </si>
  <si>
    <t>KIM YAMAMOTO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</si>
</sst>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Calibri"/>
    </font>
    <font>
      <b/>
      <i/>
      <sz val="9"/>
      <color rgb="FF000000"/>
      <name val="Calibri"/>
    </font>
    <font>
      <b/>
      <i/>
      <sz val="11"/>
      <color rgb="FF0066CC"/>
      <name val="Calibri"/>
    </font>
    <font>
      <b/>
      <sz val="11"/>
      <color rgb="FF000000"/>
      <name val="Calibri"/>
    </font>
    <font>
      <b/>
      <sz val="12"/>
      <color rgb="FFFF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CC0000"/>
      <name val="Calibri"/>
    </font>
    <font>
      <sz val="9"/>
      <color rgb="FF008000"/>
      <name val="Calibri"/>
    </font>
    <font>
      <sz val="9"/>
      <color rgb="FF6600CC"/>
      <name val="Calibri"/>
    </font>
    <font>
      <b/>
      <sz val="10"/>
      <color rgb="FFFFFFFF"/>
      <name val="Calibri"/>
    </font>
    <font>
      <b/>
      <sz val="11"/>
      <color rgb="FF008000"/>
      <name val="Calibri"/>
    </font>
    <font>
      <i/>
      <sz val="9"/>
      <color rgb="FF000000"/>
      <name val="Calibri"/>
    </font>
    <font>
      <sz val="10"/>
      <color rgb="FFFF0000"/>
      <name val="Calibri"/>
    </font>
    <font>
      <sz val="10"/>
      <color rgb="FF008000"/>
      <name val="Calibri"/>
    </font>
    <font>
      <b/>
      <sz val="12"/>
      <color rgb="FFFFFFFF"/>
      <name val="Calibri"/>
    </font>
    <font>
      <b/>
      <sz val="14"/>
      <color rgb="FFFFFFFF"/>
      <name val="Calibri"/>
    </font>
    <font>
      <b/>
      <sz val="9"/>
      <color rgb="FFCC00CC"/>
      <name val="Calibri"/>
    </font>
    <font>
      <b/>
      <sz val="14"/>
      <color rgb="FF000000"/>
      <name val="Calibri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F2"/>
        <bgColor rgb="FF000000"/>
      </patternFill>
    </fill>
    <fill>
      <patternFill patternType="solid">
        <fgColor rgb="FFF0FFF0"/>
        <bgColor rgb="FF000000"/>
      </patternFill>
    </fill>
    <fill>
      <patternFill patternType="solid">
        <fgColor rgb="FFF5F0FF"/>
        <bgColor rgb="FF000000"/>
      </patternFill>
    </fill>
    <fill>
      <patternFill patternType="solid">
        <fgColor rgb="FFE8FFE8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0" xfId="0" applyFont="1" applyFill="1"/>
    <xf numFmtId="0" fontId="5" fillId="0" borderId="0" xfId="0" applyFont="1" applyAlignment="1">
      <alignment horizontal="right"/>
    </xf>
    <xf numFmtId="4" fontId="3" fillId="3" borderId="0" xfId="0" applyNumberFormat="1" applyFont="1" applyFill="1"/>
    <xf numFmtId="2" fontId="6" fillId="0" borderId="0" xfId="0" applyNumberFormat="1" applyFont="1"/>
    <xf numFmtId="2" fontId="7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/>
    </xf>
    <xf numFmtId="20" fontId="6" fillId="12" borderId="1" xfId="0" applyNumberFormat="1" applyFont="1" applyFill="1" applyBorder="1" applyAlignment="1">
      <alignment horizontal="center"/>
    </xf>
    <xf numFmtId="2" fontId="6" fillId="13" borderId="1" xfId="0" applyNumberFormat="1" applyFont="1" applyFill="1" applyBorder="1" applyAlignment="1">
      <alignment horizontal="center"/>
    </xf>
    <xf numFmtId="1" fontId="6" fillId="13" borderId="1" xfId="0" applyNumberFormat="1" applyFont="1" applyFill="1" applyBorder="1" applyAlignment="1">
      <alignment horizontal="center"/>
    </xf>
    <xf numFmtId="4" fontId="8" fillId="14" borderId="1" xfId="0" applyNumberFormat="1" applyFont="1" applyFill="1" applyBorder="1" applyAlignment="1">
      <alignment horizontal="center"/>
    </xf>
    <xf numFmtId="4" fontId="9" fillId="15" borderId="1" xfId="0" applyNumberFormat="1" applyFont="1" applyFill="1" applyBorder="1" applyAlignment="1">
      <alignment horizontal="center"/>
    </xf>
    <xf numFmtId="4" fontId="6" fillId="13" borderId="1" xfId="0" applyNumberFormat="1" applyFont="1" applyFill="1" applyBorder="1" applyAlignment="1">
      <alignment horizontal="center"/>
    </xf>
    <xf numFmtId="4" fontId="10" fillId="16" borderId="1" xfId="0" applyNumberFormat="1" applyFont="1" applyFill="1" applyBorder="1" applyAlignment="1">
      <alignment horizontal="center"/>
    </xf>
    <xf numFmtId="4" fontId="6" fillId="12" borderId="1" xfId="0" applyNumberFormat="1" applyFont="1" applyFill="1" applyBorder="1" applyAlignment="1">
      <alignment horizontal="center"/>
    </xf>
    <xf numFmtId="4" fontId="7" fillId="17" borderId="1" xfId="0" applyNumberFormat="1" applyFont="1" applyFill="1" applyBorder="1" applyAlignment="1">
      <alignment horizontal="center"/>
    </xf>
    <xf numFmtId="0" fontId="11" fillId="18" borderId="2" xfId="0" applyFont="1" applyFill="1" applyBorder="1" applyAlignment="1">
      <alignment horizontal="center"/>
    </xf>
    <xf numFmtId="2" fontId="11" fillId="18" borderId="2" xfId="0" applyNumberFormat="1" applyFont="1" applyFill="1" applyBorder="1" applyAlignment="1">
      <alignment horizontal="center"/>
    </xf>
    <xf numFmtId="1" fontId="11" fillId="18" borderId="2" xfId="0" applyNumberFormat="1" applyFont="1" applyFill="1" applyBorder="1" applyAlignment="1">
      <alignment horizontal="center"/>
    </xf>
    <xf numFmtId="4" fontId="11" fillId="18" borderId="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4" fontId="12" fillId="20" borderId="1" xfId="0" applyNumberFormat="1" applyFont="1" applyFill="1" applyBorder="1" applyAlignment="1">
      <alignment horizontal="center"/>
    </xf>
    <xf numFmtId="4" fontId="3" fillId="21" borderId="0" xfId="0" applyNumberFormat="1" applyFont="1" applyFill="1"/>
    <xf numFmtId="0" fontId="0" fillId="0" borderId="0" xfId="0" applyAlignment="1">
      <alignment horizontal="right"/>
    </xf>
    <xf numFmtId="4" fontId="0" fillId="0" borderId="0" xfId="0" applyNumberFormat="1"/>
    <xf numFmtId="0" fontId="14" fillId="0" borderId="0" xfId="0" applyFont="1" applyAlignment="1">
      <alignment horizontal="right"/>
    </xf>
    <xf numFmtId="4" fontId="14" fillId="0" borderId="0" xfId="0" applyNumberFormat="1" applyFont="1"/>
    <xf numFmtId="4" fontId="14" fillId="8" borderId="0" xfId="0" applyNumberFormat="1" applyFont="1" applyFill="1"/>
    <xf numFmtId="0" fontId="15" fillId="0" borderId="0" xfId="0" applyFont="1" applyAlignment="1">
      <alignment horizontal="right"/>
    </xf>
    <xf numFmtId="4" fontId="15" fillId="6" borderId="0" xfId="0" applyNumberFormat="1" applyFont="1" applyFill="1"/>
    <xf numFmtId="0" fontId="16" fillId="18" borderId="2" xfId="0" applyFont="1" applyFill="1" applyBorder="1" applyAlignment="1">
      <alignment horizontal="right"/>
    </xf>
    <xf numFmtId="0" fontId="18" fillId="0" borderId="0" xfId="0" applyFont="1"/>
    <xf numFmtId="4" fontId="14" fillId="12" borderId="0" xfId="0" applyNumberFormat="1" applyFont="1" applyFill="1"/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7" fillId="10" borderId="1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4" fontId="17" fillId="2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B10" sqref="B10"/>
    </sheetView>
  </sheetViews>
  <sheetFormatPr defaultRowHeight="12.75" x14ac:dyDescent="0.2"/>
  <cols>
    <col min="1" max="1" width="12" customWidth="1"/>
    <col min="2" max="3" width="10" customWidth="1"/>
    <col min="4" max="5" width="9" customWidth="1"/>
    <col min="6" max="6" width="10" customWidth="1"/>
    <col min="7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3" width="14" customWidth="1"/>
    <col min="14" max="15" width="12" customWidth="1"/>
    <col min="16" max="16" width="16" customWidth="1"/>
    <col min="17" max="19" width="12" customWidth="1"/>
    <col min="20" max="21" width="14" customWidth="1"/>
    <col min="22" max="22" width="18" customWidth="1"/>
  </cols>
  <sheetData>
    <row r="1" spans="1:22" ht="20.100000000000001" customHeight="1" x14ac:dyDescent="0.25">
      <c r="A1" s="47" t="s">
        <v>0</v>
      </c>
      <c r="B1" s="48"/>
      <c r="C1" s="48"/>
      <c r="D1" s="48"/>
      <c r="E1" s="48"/>
      <c r="F1" s="48"/>
      <c r="G1" s="49" t="s">
        <v>1</v>
      </c>
      <c r="H1" s="48"/>
      <c r="I1" s="48"/>
      <c r="J1" s="48"/>
      <c r="K1" s="48"/>
      <c r="L1" s="48"/>
    </row>
    <row r="2" spans="1:22" ht="18" customHeight="1" x14ac:dyDescent="0.25">
      <c r="A2" s="1" t="s">
        <v>2</v>
      </c>
      <c r="B2" s="50" t="s">
        <v>138</v>
      </c>
      <c r="C2" s="50"/>
      <c r="D2" s="50"/>
      <c r="E2" s="50"/>
      <c r="F2" s="50"/>
      <c r="G2" s="2" t="s">
        <v>3</v>
      </c>
      <c r="H2" s="3">
        <v>15000</v>
      </c>
      <c r="I2" s="5" t="s">
        <v>4</v>
      </c>
      <c r="J2" s="3">
        <v>500</v>
      </c>
      <c r="K2" s="5" t="s">
        <v>5</v>
      </c>
      <c r="L2" s="4">
        <f>IF($J$2=0,0,($J$2/8)*1.25)</f>
        <v>78.125</v>
      </c>
      <c r="M2" s="7" t="s">
        <v>6</v>
      </c>
      <c r="N2" s="6" t="s">
        <v>7</v>
      </c>
      <c r="O2" s="7" t="s">
        <v>8</v>
      </c>
      <c r="P2" s="6" t="s">
        <v>9</v>
      </c>
    </row>
    <row r="3" spans="1:22" ht="6" customHeight="1" x14ac:dyDescent="0.2"/>
    <row r="4" spans="1:22" ht="20.100000000000001" customHeight="1" x14ac:dyDescent="0.2">
      <c r="A4" s="8" t="s">
        <v>10</v>
      </c>
      <c r="B4" s="9" t="s">
        <v>11</v>
      </c>
      <c r="C4" s="9" t="s">
        <v>12</v>
      </c>
      <c r="D4" s="10" t="s">
        <v>13</v>
      </c>
      <c r="E4" s="11" t="s">
        <v>14</v>
      </c>
      <c r="F4" s="12" t="s">
        <v>15</v>
      </c>
      <c r="G4" s="11" t="s">
        <v>16</v>
      </c>
      <c r="H4" s="11" t="s">
        <v>17</v>
      </c>
      <c r="I4" s="11" t="s">
        <v>18</v>
      </c>
      <c r="J4" s="11" t="s">
        <v>19</v>
      </c>
      <c r="K4" s="11" t="s">
        <v>13</v>
      </c>
      <c r="L4" s="13" t="s">
        <v>17</v>
      </c>
      <c r="M4" s="13" t="s">
        <v>18</v>
      </c>
      <c r="N4" s="13" t="s">
        <v>20</v>
      </c>
      <c r="O4" s="14" t="s">
        <v>21</v>
      </c>
      <c r="P4" s="13" t="s">
        <v>22</v>
      </c>
      <c r="Q4" s="51" t="s">
        <v>23</v>
      </c>
      <c r="R4" s="51"/>
      <c r="S4" s="51"/>
      <c r="T4" s="16" t="s">
        <v>24</v>
      </c>
      <c r="U4" s="14" t="s">
        <v>25</v>
      </c>
      <c r="V4" s="8" t="s">
        <v>26</v>
      </c>
    </row>
    <row r="5" spans="1:22" ht="18" customHeight="1" x14ac:dyDescent="0.2">
      <c r="A5" s="8" t="s">
        <v>27</v>
      </c>
      <c r="B5" s="9"/>
      <c r="C5" s="9"/>
      <c r="D5" s="10"/>
      <c r="E5" s="11"/>
      <c r="F5" s="12"/>
      <c r="G5" s="11" t="s">
        <v>28</v>
      </c>
      <c r="H5" s="11" t="s">
        <v>29</v>
      </c>
      <c r="I5" s="11" t="s">
        <v>28</v>
      </c>
      <c r="J5" s="11" t="s">
        <v>28</v>
      </c>
      <c r="K5" s="11" t="s">
        <v>30</v>
      </c>
      <c r="L5" s="13" t="s">
        <v>31</v>
      </c>
      <c r="M5" s="13" t="s">
        <v>31</v>
      </c>
      <c r="N5" s="13" t="s">
        <v>31</v>
      </c>
      <c r="O5" s="14"/>
      <c r="P5" s="13" t="s">
        <v>32</v>
      </c>
      <c r="Q5" s="15" t="s">
        <v>33</v>
      </c>
      <c r="R5" s="15" t="s">
        <v>18</v>
      </c>
      <c r="S5" s="15" t="s">
        <v>19</v>
      </c>
      <c r="T5" s="16" t="s">
        <v>34</v>
      </c>
      <c r="U5" s="14" t="s">
        <v>35</v>
      </c>
      <c r="V5" s="8"/>
    </row>
    <row r="6" spans="1:22" x14ac:dyDescent="0.2">
      <c r="A6" s="17" t="s">
        <v>36</v>
      </c>
      <c r="B6" s="18"/>
      <c r="C6" s="18"/>
      <c r="D6" s="17"/>
      <c r="E6" s="17"/>
      <c r="F6" s="18"/>
      <c r="G6" s="19">
        <f t="shared" ref="G6:G36" si="0">IF(OR(D6="X",AND(B6="",C6="")),0,IF(AND(B6&lt;&gt;"",C6&lt;&gt;""),MAX(0,(MOD(C6-IF(B6&lt;=TIME(8,10,0),TIME(8,0,0),B6),1)*24)-IF(AND(IF(B6&lt;=TIME(8,10,0),TIME(8,0,0),B6)&lt;TIME(13,0,0),C6&gt;TIME(12,0,0)),1,0)),0))</f>
        <v>0</v>
      </c>
      <c r="H6" s="20">
        <f t="shared" ref="H6:H36" si="1">IF(OR(D6="X",B6=""),0,IF(B6&gt;TIME(8,10,0),(B6-TIME(8,0,0))*1440,0))</f>
        <v>0</v>
      </c>
      <c r="I6" s="19">
        <f t="shared" ref="I6:I36" si="2">IF(OR(D6="X",C6=""),0,IF(OR(AND(G6&gt;0,G6&lt;4),AND(C6&gt;=TIME(11,45,0),C6&lt;=TIME(12,15,0))),0,IF(C6&lt;TIME(17,0,0),IF(C6&lt;TIME(13,0,0),(TIME(17,0,0)-C6)*24-1,(TIME(17,0,0)-C6)*24),0)))</f>
        <v>0</v>
      </c>
      <c r="J6" s="19">
        <f t="shared" ref="J6:J36" si="3">IF(F6="",0,(F6-TIME(17,0,0))*24)</f>
        <v>0</v>
      </c>
      <c r="K6" s="20">
        <f t="shared" ref="K6:K36" si="4">IF(D6="X",1,0)</f>
        <v>0</v>
      </c>
      <c r="L6" s="21">
        <f t="shared" ref="L6:L36" si="5">IF($J$2=0,0,Q6*($J$2/8/60))</f>
        <v>0</v>
      </c>
      <c r="M6" s="21">
        <f t="shared" ref="M6:M36" si="6">IF($J$2=0,0,R6*($J$2/8))</f>
        <v>0</v>
      </c>
      <c r="N6" s="21">
        <f t="shared" ref="N6:N36" si="7">IF(OR(AND(G6&gt;0,G6&lt;4),AND(C6&gt;=TIME(11,45,0),C6&lt;=TIME(12,15,0))),$J$2/2,0)</f>
        <v>0</v>
      </c>
      <c r="O6" s="22">
        <f t="shared" ref="O6:O36" si="8">IF($J$2=0,0,S6*$L$2)</f>
        <v>0</v>
      </c>
      <c r="P6" s="23">
        <f t="shared" ref="P6:P36" si="9">O6-(L6+M6+N6)</f>
        <v>0</v>
      </c>
      <c r="Q6" s="24">
        <f t="shared" ref="Q6:Q36" si="10">IF(H6&gt;270,0,H6)</f>
        <v>0</v>
      </c>
      <c r="R6" s="24">
        <f t="shared" ref="R6:R36" si="11">IF(I6&gt;15,0,I6)</f>
        <v>0</v>
      </c>
      <c r="S6" s="24">
        <f t="shared" ref="S6:S36" si="12">IFERROR(J6*1,0)</f>
        <v>0</v>
      </c>
      <c r="T6" s="25"/>
      <c r="U6" s="26">
        <f t="shared" ref="U6:U36" si="13">IF(K6=1,0,IF(AND(B6="",C6="",F6=""),0,IF(AND(B6="",C6=""),0,IF($J$2=0,0,$J$2))))+P6</f>
        <v>0</v>
      </c>
      <c r="V6" s="17"/>
    </row>
    <row r="7" spans="1:22" x14ac:dyDescent="0.2">
      <c r="A7" s="17" t="s">
        <v>37</v>
      </c>
      <c r="B7" s="18"/>
      <c r="C7" s="18"/>
      <c r="D7" s="17"/>
      <c r="E7" s="17"/>
      <c r="F7" s="18"/>
      <c r="G7" s="19">
        <f t="shared" si="0"/>
        <v>0</v>
      </c>
      <c r="H7" s="20">
        <f t="shared" si="1"/>
        <v>0</v>
      </c>
      <c r="I7" s="19">
        <f t="shared" si="2"/>
        <v>0</v>
      </c>
      <c r="J7" s="19">
        <f t="shared" si="3"/>
        <v>0</v>
      </c>
      <c r="K7" s="20">
        <f t="shared" si="4"/>
        <v>0</v>
      </c>
      <c r="L7" s="21">
        <f t="shared" si="5"/>
        <v>0</v>
      </c>
      <c r="M7" s="21">
        <f t="shared" si="6"/>
        <v>0</v>
      </c>
      <c r="N7" s="21">
        <f t="shared" si="7"/>
        <v>0</v>
      </c>
      <c r="O7" s="22">
        <f t="shared" si="8"/>
        <v>0</v>
      </c>
      <c r="P7" s="23">
        <f t="shared" si="9"/>
        <v>0</v>
      </c>
      <c r="Q7" s="24">
        <f t="shared" si="10"/>
        <v>0</v>
      </c>
      <c r="R7" s="24">
        <f t="shared" si="11"/>
        <v>0</v>
      </c>
      <c r="S7" s="24">
        <f t="shared" si="12"/>
        <v>0</v>
      </c>
      <c r="T7" s="25"/>
      <c r="U7" s="26">
        <f t="shared" si="13"/>
        <v>0</v>
      </c>
      <c r="V7" s="17"/>
    </row>
    <row r="8" spans="1:22" x14ac:dyDescent="0.2">
      <c r="A8" s="17" t="s">
        <v>38</v>
      </c>
      <c r="B8" s="18"/>
      <c r="C8" s="18"/>
      <c r="D8" s="17"/>
      <c r="E8" s="17"/>
      <c r="F8" s="18"/>
      <c r="G8" s="19">
        <f t="shared" si="0"/>
        <v>0</v>
      </c>
      <c r="H8" s="20">
        <f t="shared" si="1"/>
        <v>0</v>
      </c>
      <c r="I8" s="19">
        <f t="shared" si="2"/>
        <v>0</v>
      </c>
      <c r="J8" s="19">
        <f t="shared" si="3"/>
        <v>0</v>
      </c>
      <c r="K8" s="20">
        <f t="shared" si="4"/>
        <v>0</v>
      </c>
      <c r="L8" s="21">
        <f t="shared" si="5"/>
        <v>0</v>
      </c>
      <c r="M8" s="21">
        <f t="shared" si="6"/>
        <v>0</v>
      </c>
      <c r="N8" s="21">
        <f t="shared" si="7"/>
        <v>0</v>
      </c>
      <c r="O8" s="22">
        <f t="shared" si="8"/>
        <v>0</v>
      </c>
      <c r="P8" s="23">
        <f t="shared" si="9"/>
        <v>0</v>
      </c>
      <c r="Q8" s="24">
        <f t="shared" si="10"/>
        <v>0</v>
      </c>
      <c r="R8" s="24">
        <f t="shared" si="11"/>
        <v>0</v>
      </c>
      <c r="S8" s="24">
        <f t="shared" si="12"/>
        <v>0</v>
      </c>
      <c r="T8" s="25"/>
      <c r="U8" s="26">
        <f t="shared" si="13"/>
        <v>0</v>
      </c>
      <c r="V8" s="17"/>
    </row>
    <row r="9" spans="1:22" x14ac:dyDescent="0.2">
      <c r="A9" s="17" t="s">
        <v>39</v>
      </c>
      <c r="B9" s="18">
        <v>0.33333333333333331</v>
      </c>
      <c r="C9" s="18">
        <v>0.70833333333333337</v>
      </c>
      <c r="D9" s="17"/>
      <c r="E9" s="17"/>
      <c r="F9" s="18"/>
      <c r="G9" s="19">
        <f t="shared" si="0"/>
        <v>8.0000000000000018</v>
      </c>
      <c r="H9" s="20">
        <f t="shared" si="1"/>
        <v>0</v>
      </c>
      <c r="I9" s="19">
        <f t="shared" si="2"/>
        <v>0</v>
      </c>
      <c r="J9" s="19">
        <f t="shared" si="3"/>
        <v>0</v>
      </c>
      <c r="K9" s="20">
        <f t="shared" si="4"/>
        <v>0</v>
      </c>
      <c r="L9" s="21">
        <f t="shared" si="5"/>
        <v>0</v>
      </c>
      <c r="M9" s="21">
        <f t="shared" si="6"/>
        <v>0</v>
      </c>
      <c r="N9" s="21">
        <f t="shared" si="7"/>
        <v>0</v>
      </c>
      <c r="O9" s="22">
        <f t="shared" si="8"/>
        <v>0</v>
      </c>
      <c r="P9" s="23">
        <f t="shared" si="9"/>
        <v>0</v>
      </c>
      <c r="Q9" s="24">
        <f t="shared" si="10"/>
        <v>0</v>
      </c>
      <c r="R9" s="24">
        <f t="shared" si="11"/>
        <v>0</v>
      </c>
      <c r="S9" s="24">
        <f t="shared" si="12"/>
        <v>0</v>
      </c>
      <c r="T9" s="25"/>
      <c r="U9" s="26">
        <f t="shared" si="13"/>
        <v>500</v>
      </c>
      <c r="V9" s="17"/>
    </row>
    <row r="10" spans="1:22" x14ac:dyDescent="0.2">
      <c r="A10" s="17" t="s">
        <v>40</v>
      </c>
      <c r="B10" s="18"/>
      <c r="C10" s="18"/>
      <c r="D10" s="17"/>
      <c r="E10" s="17"/>
      <c r="F10" s="18"/>
      <c r="G10" s="19">
        <f t="shared" si="0"/>
        <v>0</v>
      </c>
      <c r="H10" s="20">
        <f t="shared" si="1"/>
        <v>0</v>
      </c>
      <c r="I10" s="19">
        <f t="shared" si="2"/>
        <v>0</v>
      </c>
      <c r="J10" s="19">
        <f t="shared" si="3"/>
        <v>0</v>
      </c>
      <c r="K10" s="20">
        <f t="shared" si="4"/>
        <v>0</v>
      </c>
      <c r="L10" s="21">
        <f t="shared" si="5"/>
        <v>0</v>
      </c>
      <c r="M10" s="21">
        <f t="shared" si="6"/>
        <v>0</v>
      </c>
      <c r="N10" s="21">
        <f t="shared" si="7"/>
        <v>0</v>
      </c>
      <c r="O10" s="22">
        <f t="shared" si="8"/>
        <v>0</v>
      </c>
      <c r="P10" s="23">
        <f t="shared" si="9"/>
        <v>0</v>
      </c>
      <c r="Q10" s="24">
        <f t="shared" si="10"/>
        <v>0</v>
      </c>
      <c r="R10" s="24">
        <f t="shared" si="11"/>
        <v>0</v>
      </c>
      <c r="S10" s="24">
        <f t="shared" si="12"/>
        <v>0</v>
      </c>
      <c r="T10" s="25"/>
      <c r="U10" s="26">
        <f t="shared" si="13"/>
        <v>0</v>
      </c>
      <c r="V10" s="17"/>
    </row>
    <row r="11" spans="1:22" x14ac:dyDescent="0.2">
      <c r="A11" s="17" t="s">
        <v>41</v>
      </c>
      <c r="B11" s="18"/>
      <c r="C11" s="18"/>
      <c r="D11" s="17"/>
      <c r="E11" s="17"/>
      <c r="F11" s="18"/>
      <c r="G11" s="19">
        <f t="shared" si="0"/>
        <v>0</v>
      </c>
      <c r="H11" s="20">
        <f t="shared" si="1"/>
        <v>0</v>
      </c>
      <c r="I11" s="19">
        <f t="shared" si="2"/>
        <v>0</v>
      </c>
      <c r="J11" s="19">
        <f t="shared" si="3"/>
        <v>0</v>
      </c>
      <c r="K11" s="20">
        <f t="shared" si="4"/>
        <v>0</v>
      </c>
      <c r="L11" s="21">
        <f t="shared" si="5"/>
        <v>0</v>
      </c>
      <c r="M11" s="21">
        <f t="shared" si="6"/>
        <v>0</v>
      </c>
      <c r="N11" s="21">
        <f t="shared" si="7"/>
        <v>0</v>
      </c>
      <c r="O11" s="22">
        <f t="shared" si="8"/>
        <v>0</v>
      </c>
      <c r="P11" s="23">
        <f t="shared" si="9"/>
        <v>0</v>
      </c>
      <c r="Q11" s="24">
        <f t="shared" si="10"/>
        <v>0</v>
      </c>
      <c r="R11" s="24">
        <f t="shared" si="11"/>
        <v>0</v>
      </c>
      <c r="S11" s="24">
        <f t="shared" si="12"/>
        <v>0</v>
      </c>
      <c r="T11" s="25"/>
      <c r="U11" s="26">
        <f t="shared" si="13"/>
        <v>0</v>
      </c>
      <c r="V11" s="17"/>
    </row>
    <row r="12" spans="1:22" x14ac:dyDescent="0.2">
      <c r="A12" s="17" t="s">
        <v>42</v>
      </c>
      <c r="B12" s="18"/>
      <c r="C12" s="18"/>
      <c r="D12" s="17"/>
      <c r="E12" s="17"/>
      <c r="F12" s="18"/>
      <c r="G12" s="19">
        <f t="shared" si="0"/>
        <v>0</v>
      </c>
      <c r="H12" s="20">
        <f t="shared" si="1"/>
        <v>0</v>
      </c>
      <c r="I12" s="19">
        <f t="shared" si="2"/>
        <v>0</v>
      </c>
      <c r="J12" s="19">
        <f t="shared" si="3"/>
        <v>0</v>
      </c>
      <c r="K12" s="20">
        <f t="shared" si="4"/>
        <v>0</v>
      </c>
      <c r="L12" s="21">
        <f t="shared" si="5"/>
        <v>0</v>
      </c>
      <c r="M12" s="21">
        <f t="shared" si="6"/>
        <v>0</v>
      </c>
      <c r="N12" s="21">
        <f t="shared" si="7"/>
        <v>0</v>
      </c>
      <c r="O12" s="22">
        <f t="shared" si="8"/>
        <v>0</v>
      </c>
      <c r="P12" s="23">
        <f t="shared" si="9"/>
        <v>0</v>
      </c>
      <c r="Q12" s="24">
        <f t="shared" si="10"/>
        <v>0</v>
      </c>
      <c r="R12" s="24">
        <f t="shared" si="11"/>
        <v>0</v>
      </c>
      <c r="S12" s="24">
        <f t="shared" si="12"/>
        <v>0</v>
      </c>
      <c r="T12" s="25"/>
      <c r="U12" s="26">
        <f t="shared" si="13"/>
        <v>0</v>
      </c>
      <c r="V12" s="17"/>
    </row>
    <row r="13" spans="1:22" x14ac:dyDescent="0.2">
      <c r="A13" s="17" t="s">
        <v>43</v>
      </c>
      <c r="B13" s="18"/>
      <c r="C13" s="18"/>
      <c r="D13" s="17"/>
      <c r="E13" s="17"/>
      <c r="F13" s="18"/>
      <c r="G13" s="19">
        <f t="shared" si="0"/>
        <v>0</v>
      </c>
      <c r="H13" s="20">
        <f t="shared" si="1"/>
        <v>0</v>
      </c>
      <c r="I13" s="19">
        <f t="shared" si="2"/>
        <v>0</v>
      </c>
      <c r="J13" s="19">
        <f t="shared" si="3"/>
        <v>0</v>
      </c>
      <c r="K13" s="20">
        <f t="shared" si="4"/>
        <v>0</v>
      </c>
      <c r="L13" s="21">
        <f t="shared" si="5"/>
        <v>0</v>
      </c>
      <c r="M13" s="21">
        <f t="shared" si="6"/>
        <v>0</v>
      </c>
      <c r="N13" s="21">
        <f t="shared" si="7"/>
        <v>0</v>
      </c>
      <c r="O13" s="22">
        <f t="shared" si="8"/>
        <v>0</v>
      </c>
      <c r="P13" s="23">
        <f t="shared" si="9"/>
        <v>0</v>
      </c>
      <c r="Q13" s="24">
        <f t="shared" si="10"/>
        <v>0</v>
      </c>
      <c r="R13" s="24">
        <f t="shared" si="11"/>
        <v>0</v>
      </c>
      <c r="S13" s="24">
        <f t="shared" si="12"/>
        <v>0</v>
      </c>
      <c r="T13" s="25"/>
      <c r="U13" s="26">
        <f t="shared" si="13"/>
        <v>0</v>
      </c>
      <c r="V13" s="17"/>
    </row>
    <row r="14" spans="1:22" x14ac:dyDescent="0.2">
      <c r="A14" s="17" t="s">
        <v>44</v>
      </c>
      <c r="B14" s="18"/>
      <c r="C14" s="18"/>
      <c r="D14" s="17"/>
      <c r="E14" s="17"/>
      <c r="F14" s="18"/>
      <c r="G14" s="19">
        <f t="shared" si="0"/>
        <v>0</v>
      </c>
      <c r="H14" s="20">
        <f t="shared" si="1"/>
        <v>0</v>
      </c>
      <c r="I14" s="19">
        <f t="shared" si="2"/>
        <v>0</v>
      </c>
      <c r="J14" s="19">
        <f t="shared" si="3"/>
        <v>0</v>
      </c>
      <c r="K14" s="20">
        <f t="shared" si="4"/>
        <v>0</v>
      </c>
      <c r="L14" s="21">
        <f t="shared" si="5"/>
        <v>0</v>
      </c>
      <c r="M14" s="21">
        <f t="shared" si="6"/>
        <v>0</v>
      </c>
      <c r="N14" s="21">
        <f t="shared" si="7"/>
        <v>0</v>
      </c>
      <c r="O14" s="22">
        <f t="shared" si="8"/>
        <v>0</v>
      </c>
      <c r="P14" s="23">
        <f t="shared" si="9"/>
        <v>0</v>
      </c>
      <c r="Q14" s="24">
        <f t="shared" si="10"/>
        <v>0</v>
      </c>
      <c r="R14" s="24">
        <f t="shared" si="11"/>
        <v>0</v>
      </c>
      <c r="S14" s="24">
        <f t="shared" si="12"/>
        <v>0</v>
      </c>
      <c r="T14" s="25"/>
      <c r="U14" s="26">
        <f t="shared" si="13"/>
        <v>0</v>
      </c>
      <c r="V14" s="17"/>
    </row>
    <row r="15" spans="1:22" x14ac:dyDescent="0.2">
      <c r="A15" s="17" t="s">
        <v>45</v>
      </c>
      <c r="B15" s="18"/>
      <c r="C15" s="18"/>
      <c r="D15" s="17"/>
      <c r="E15" s="17"/>
      <c r="F15" s="18"/>
      <c r="G15" s="19">
        <f t="shared" si="0"/>
        <v>0</v>
      </c>
      <c r="H15" s="20">
        <f t="shared" si="1"/>
        <v>0</v>
      </c>
      <c r="I15" s="19">
        <f t="shared" si="2"/>
        <v>0</v>
      </c>
      <c r="J15" s="19">
        <f t="shared" si="3"/>
        <v>0</v>
      </c>
      <c r="K15" s="20">
        <f t="shared" si="4"/>
        <v>0</v>
      </c>
      <c r="L15" s="21">
        <f t="shared" si="5"/>
        <v>0</v>
      </c>
      <c r="M15" s="21">
        <f t="shared" si="6"/>
        <v>0</v>
      </c>
      <c r="N15" s="21">
        <f t="shared" si="7"/>
        <v>0</v>
      </c>
      <c r="O15" s="22">
        <f t="shared" si="8"/>
        <v>0</v>
      </c>
      <c r="P15" s="23">
        <f t="shared" si="9"/>
        <v>0</v>
      </c>
      <c r="Q15" s="24">
        <f t="shared" si="10"/>
        <v>0</v>
      </c>
      <c r="R15" s="24">
        <f t="shared" si="11"/>
        <v>0</v>
      </c>
      <c r="S15" s="24">
        <f t="shared" si="12"/>
        <v>0</v>
      </c>
      <c r="T15" s="25"/>
      <c r="U15" s="26">
        <f t="shared" si="13"/>
        <v>0</v>
      </c>
      <c r="V15" s="17"/>
    </row>
    <row r="16" spans="1:22" x14ac:dyDescent="0.2">
      <c r="A16" s="17" t="s">
        <v>46</v>
      </c>
      <c r="B16" s="18"/>
      <c r="C16" s="18"/>
      <c r="D16" s="17"/>
      <c r="E16" s="17"/>
      <c r="F16" s="18"/>
      <c r="G16" s="19">
        <f t="shared" si="0"/>
        <v>0</v>
      </c>
      <c r="H16" s="20">
        <f t="shared" si="1"/>
        <v>0</v>
      </c>
      <c r="I16" s="19">
        <f t="shared" si="2"/>
        <v>0</v>
      </c>
      <c r="J16" s="19">
        <f t="shared" si="3"/>
        <v>0</v>
      </c>
      <c r="K16" s="20">
        <f t="shared" si="4"/>
        <v>0</v>
      </c>
      <c r="L16" s="21">
        <f t="shared" si="5"/>
        <v>0</v>
      </c>
      <c r="M16" s="21">
        <f t="shared" si="6"/>
        <v>0</v>
      </c>
      <c r="N16" s="21">
        <f t="shared" si="7"/>
        <v>0</v>
      </c>
      <c r="O16" s="22">
        <f t="shared" si="8"/>
        <v>0</v>
      </c>
      <c r="P16" s="23">
        <f t="shared" si="9"/>
        <v>0</v>
      </c>
      <c r="Q16" s="24">
        <f t="shared" si="10"/>
        <v>0</v>
      </c>
      <c r="R16" s="24">
        <f t="shared" si="11"/>
        <v>0</v>
      </c>
      <c r="S16" s="24">
        <f t="shared" si="12"/>
        <v>0</v>
      </c>
      <c r="T16" s="25"/>
      <c r="U16" s="26">
        <f t="shared" si="13"/>
        <v>0</v>
      </c>
      <c r="V16" s="17"/>
    </row>
    <row r="17" spans="1:22" x14ac:dyDescent="0.2">
      <c r="A17" s="17" t="s">
        <v>47</v>
      </c>
      <c r="B17" s="18"/>
      <c r="C17" s="18"/>
      <c r="D17" s="17"/>
      <c r="E17" s="17"/>
      <c r="F17" s="18"/>
      <c r="G17" s="19">
        <f t="shared" si="0"/>
        <v>0</v>
      </c>
      <c r="H17" s="20">
        <f t="shared" si="1"/>
        <v>0</v>
      </c>
      <c r="I17" s="19">
        <f t="shared" si="2"/>
        <v>0</v>
      </c>
      <c r="J17" s="19">
        <f t="shared" si="3"/>
        <v>0</v>
      </c>
      <c r="K17" s="20">
        <f t="shared" si="4"/>
        <v>0</v>
      </c>
      <c r="L17" s="21">
        <f t="shared" si="5"/>
        <v>0</v>
      </c>
      <c r="M17" s="21">
        <f t="shared" si="6"/>
        <v>0</v>
      </c>
      <c r="N17" s="21">
        <f t="shared" si="7"/>
        <v>0</v>
      </c>
      <c r="O17" s="22">
        <f t="shared" si="8"/>
        <v>0</v>
      </c>
      <c r="P17" s="23">
        <f t="shared" si="9"/>
        <v>0</v>
      </c>
      <c r="Q17" s="24">
        <f t="shared" si="10"/>
        <v>0</v>
      </c>
      <c r="R17" s="24">
        <f t="shared" si="11"/>
        <v>0</v>
      </c>
      <c r="S17" s="24">
        <f t="shared" si="12"/>
        <v>0</v>
      </c>
      <c r="T17" s="25"/>
      <c r="U17" s="26">
        <f t="shared" si="13"/>
        <v>0</v>
      </c>
      <c r="V17" s="17"/>
    </row>
    <row r="18" spans="1:22" x14ac:dyDescent="0.2">
      <c r="A18" s="17" t="s">
        <v>48</v>
      </c>
      <c r="B18" s="18"/>
      <c r="C18" s="18"/>
      <c r="D18" s="17"/>
      <c r="E18" s="17"/>
      <c r="F18" s="18"/>
      <c r="G18" s="19">
        <f t="shared" si="0"/>
        <v>0</v>
      </c>
      <c r="H18" s="20">
        <f t="shared" si="1"/>
        <v>0</v>
      </c>
      <c r="I18" s="19">
        <f t="shared" si="2"/>
        <v>0</v>
      </c>
      <c r="J18" s="19">
        <f t="shared" si="3"/>
        <v>0</v>
      </c>
      <c r="K18" s="20">
        <f t="shared" si="4"/>
        <v>0</v>
      </c>
      <c r="L18" s="21">
        <f t="shared" si="5"/>
        <v>0</v>
      </c>
      <c r="M18" s="21">
        <f t="shared" si="6"/>
        <v>0</v>
      </c>
      <c r="N18" s="21">
        <f t="shared" si="7"/>
        <v>0</v>
      </c>
      <c r="O18" s="22">
        <f t="shared" si="8"/>
        <v>0</v>
      </c>
      <c r="P18" s="23">
        <f t="shared" si="9"/>
        <v>0</v>
      </c>
      <c r="Q18" s="24">
        <f t="shared" si="10"/>
        <v>0</v>
      </c>
      <c r="R18" s="24">
        <f t="shared" si="11"/>
        <v>0</v>
      </c>
      <c r="S18" s="24">
        <f t="shared" si="12"/>
        <v>0</v>
      </c>
      <c r="T18" s="25"/>
      <c r="U18" s="26">
        <f t="shared" si="13"/>
        <v>0</v>
      </c>
      <c r="V18" s="17"/>
    </row>
    <row r="19" spans="1:22" x14ac:dyDescent="0.2">
      <c r="A19" s="17" t="s">
        <v>49</v>
      </c>
      <c r="B19" s="18"/>
      <c r="C19" s="18"/>
      <c r="D19" s="17"/>
      <c r="E19" s="17"/>
      <c r="F19" s="18"/>
      <c r="G19" s="19">
        <f t="shared" si="0"/>
        <v>0</v>
      </c>
      <c r="H19" s="20">
        <f t="shared" si="1"/>
        <v>0</v>
      </c>
      <c r="I19" s="19">
        <f t="shared" si="2"/>
        <v>0</v>
      </c>
      <c r="J19" s="19">
        <f t="shared" si="3"/>
        <v>0</v>
      </c>
      <c r="K19" s="20">
        <f t="shared" si="4"/>
        <v>0</v>
      </c>
      <c r="L19" s="21">
        <f t="shared" si="5"/>
        <v>0</v>
      </c>
      <c r="M19" s="21">
        <f t="shared" si="6"/>
        <v>0</v>
      </c>
      <c r="N19" s="21">
        <f t="shared" si="7"/>
        <v>0</v>
      </c>
      <c r="O19" s="22">
        <f t="shared" si="8"/>
        <v>0</v>
      </c>
      <c r="P19" s="23">
        <f t="shared" si="9"/>
        <v>0</v>
      </c>
      <c r="Q19" s="24">
        <f t="shared" si="10"/>
        <v>0</v>
      </c>
      <c r="R19" s="24">
        <f t="shared" si="11"/>
        <v>0</v>
      </c>
      <c r="S19" s="24">
        <f t="shared" si="12"/>
        <v>0</v>
      </c>
      <c r="T19" s="25"/>
      <c r="U19" s="26">
        <f t="shared" si="13"/>
        <v>0</v>
      </c>
      <c r="V19" s="17"/>
    </row>
    <row r="20" spans="1:22" x14ac:dyDescent="0.2">
      <c r="A20" s="17" t="s">
        <v>50</v>
      </c>
      <c r="B20" s="18"/>
      <c r="C20" s="18"/>
      <c r="D20" s="17"/>
      <c r="E20" s="17"/>
      <c r="F20" s="18"/>
      <c r="G20" s="19">
        <f t="shared" si="0"/>
        <v>0</v>
      </c>
      <c r="H20" s="20">
        <f t="shared" si="1"/>
        <v>0</v>
      </c>
      <c r="I20" s="19">
        <f t="shared" si="2"/>
        <v>0</v>
      </c>
      <c r="J20" s="19">
        <f t="shared" si="3"/>
        <v>0</v>
      </c>
      <c r="K20" s="20">
        <f t="shared" si="4"/>
        <v>0</v>
      </c>
      <c r="L20" s="21">
        <f t="shared" si="5"/>
        <v>0</v>
      </c>
      <c r="M20" s="21">
        <f t="shared" si="6"/>
        <v>0</v>
      </c>
      <c r="N20" s="21">
        <f t="shared" si="7"/>
        <v>0</v>
      </c>
      <c r="O20" s="22">
        <f t="shared" si="8"/>
        <v>0</v>
      </c>
      <c r="P20" s="23">
        <f t="shared" si="9"/>
        <v>0</v>
      </c>
      <c r="Q20" s="24">
        <f t="shared" si="10"/>
        <v>0</v>
      </c>
      <c r="R20" s="24">
        <f t="shared" si="11"/>
        <v>0</v>
      </c>
      <c r="S20" s="24">
        <f t="shared" si="12"/>
        <v>0</v>
      </c>
      <c r="T20" s="25"/>
      <c r="U20" s="26">
        <f t="shared" si="13"/>
        <v>0</v>
      </c>
      <c r="V20" s="17"/>
    </row>
    <row r="21" spans="1:22" x14ac:dyDescent="0.2">
      <c r="A21" s="17" t="s">
        <v>51</v>
      </c>
      <c r="B21" s="18"/>
      <c r="C21" s="18"/>
      <c r="D21" s="17"/>
      <c r="E21" s="17"/>
      <c r="F21" s="18"/>
      <c r="G21" s="19">
        <f t="shared" si="0"/>
        <v>0</v>
      </c>
      <c r="H21" s="20">
        <f t="shared" si="1"/>
        <v>0</v>
      </c>
      <c r="I21" s="19">
        <f t="shared" si="2"/>
        <v>0</v>
      </c>
      <c r="J21" s="19">
        <f t="shared" si="3"/>
        <v>0</v>
      </c>
      <c r="K21" s="20">
        <f t="shared" si="4"/>
        <v>0</v>
      </c>
      <c r="L21" s="21">
        <f t="shared" si="5"/>
        <v>0</v>
      </c>
      <c r="M21" s="21">
        <f t="shared" si="6"/>
        <v>0</v>
      </c>
      <c r="N21" s="21">
        <f t="shared" si="7"/>
        <v>0</v>
      </c>
      <c r="O21" s="22">
        <f t="shared" si="8"/>
        <v>0</v>
      </c>
      <c r="P21" s="23">
        <f t="shared" si="9"/>
        <v>0</v>
      </c>
      <c r="Q21" s="24">
        <f t="shared" si="10"/>
        <v>0</v>
      </c>
      <c r="R21" s="24">
        <f t="shared" si="11"/>
        <v>0</v>
      </c>
      <c r="S21" s="24">
        <f t="shared" si="12"/>
        <v>0</v>
      </c>
      <c r="T21" s="25"/>
      <c r="U21" s="26">
        <f t="shared" si="13"/>
        <v>0</v>
      </c>
      <c r="V21" s="17"/>
    </row>
    <row r="22" spans="1:22" x14ac:dyDescent="0.2">
      <c r="A22" s="17" t="s">
        <v>52</v>
      </c>
      <c r="B22" s="18"/>
      <c r="C22" s="18"/>
      <c r="D22" s="17"/>
      <c r="E22" s="17"/>
      <c r="F22" s="18"/>
      <c r="G22" s="19">
        <f t="shared" si="0"/>
        <v>0</v>
      </c>
      <c r="H22" s="20">
        <f t="shared" si="1"/>
        <v>0</v>
      </c>
      <c r="I22" s="19">
        <f t="shared" si="2"/>
        <v>0</v>
      </c>
      <c r="J22" s="19">
        <f t="shared" si="3"/>
        <v>0</v>
      </c>
      <c r="K22" s="20">
        <f t="shared" si="4"/>
        <v>0</v>
      </c>
      <c r="L22" s="21">
        <f t="shared" si="5"/>
        <v>0</v>
      </c>
      <c r="M22" s="21">
        <f t="shared" si="6"/>
        <v>0</v>
      </c>
      <c r="N22" s="21">
        <f t="shared" si="7"/>
        <v>0</v>
      </c>
      <c r="O22" s="22">
        <f t="shared" si="8"/>
        <v>0</v>
      </c>
      <c r="P22" s="23">
        <f t="shared" si="9"/>
        <v>0</v>
      </c>
      <c r="Q22" s="24">
        <f t="shared" si="10"/>
        <v>0</v>
      </c>
      <c r="R22" s="24">
        <f t="shared" si="11"/>
        <v>0</v>
      </c>
      <c r="S22" s="24">
        <f t="shared" si="12"/>
        <v>0</v>
      </c>
      <c r="T22" s="25"/>
      <c r="U22" s="26">
        <f t="shared" si="13"/>
        <v>0</v>
      </c>
      <c r="V22" s="17"/>
    </row>
    <row r="23" spans="1:22" x14ac:dyDescent="0.2">
      <c r="A23" s="17" t="s">
        <v>53</v>
      </c>
      <c r="B23" s="18"/>
      <c r="C23" s="18"/>
      <c r="D23" s="17"/>
      <c r="E23" s="17"/>
      <c r="F23" s="18"/>
      <c r="G23" s="19">
        <f t="shared" si="0"/>
        <v>0</v>
      </c>
      <c r="H23" s="20">
        <f t="shared" si="1"/>
        <v>0</v>
      </c>
      <c r="I23" s="19">
        <f t="shared" si="2"/>
        <v>0</v>
      </c>
      <c r="J23" s="19">
        <f t="shared" si="3"/>
        <v>0</v>
      </c>
      <c r="K23" s="20">
        <f t="shared" si="4"/>
        <v>0</v>
      </c>
      <c r="L23" s="21">
        <f t="shared" si="5"/>
        <v>0</v>
      </c>
      <c r="M23" s="21">
        <f t="shared" si="6"/>
        <v>0</v>
      </c>
      <c r="N23" s="21">
        <f t="shared" si="7"/>
        <v>0</v>
      </c>
      <c r="O23" s="22">
        <f t="shared" si="8"/>
        <v>0</v>
      </c>
      <c r="P23" s="23">
        <f t="shared" si="9"/>
        <v>0</v>
      </c>
      <c r="Q23" s="24">
        <f t="shared" si="10"/>
        <v>0</v>
      </c>
      <c r="R23" s="24">
        <f t="shared" si="11"/>
        <v>0</v>
      </c>
      <c r="S23" s="24">
        <f t="shared" si="12"/>
        <v>0</v>
      </c>
      <c r="T23" s="25"/>
      <c r="U23" s="26">
        <f t="shared" si="13"/>
        <v>0</v>
      </c>
      <c r="V23" s="17"/>
    </row>
    <row r="24" spans="1:22" x14ac:dyDescent="0.2">
      <c r="A24" s="17" t="s">
        <v>54</v>
      </c>
      <c r="B24" s="18"/>
      <c r="C24" s="18"/>
      <c r="D24" s="17"/>
      <c r="E24" s="17"/>
      <c r="F24" s="18"/>
      <c r="G24" s="19">
        <f t="shared" si="0"/>
        <v>0</v>
      </c>
      <c r="H24" s="20">
        <f t="shared" si="1"/>
        <v>0</v>
      </c>
      <c r="I24" s="19">
        <f t="shared" si="2"/>
        <v>0</v>
      </c>
      <c r="J24" s="19">
        <f t="shared" si="3"/>
        <v>0</v>
      </c>
      <c r="K24" s="20">
        <f t="shared" si="4"/>
        <v>0</v>
      </c>
      <c r="L24" s="21">
        <f t="shared" si="5"/>
        <v>0</v>
      </c>
      <c r="M24" s="21">
        <f t="shared" si="6"/>
        <v>0</v>
      </c>
      <c r="N24" s="21">
        <f t="shared" si="7"/>
        <v>0</v>
      </c>
      <c r="O24" s="22">
        <f t="shared" si="8"/>
        <v>0</v>
      </c>
      <c r="P24" s="23">
        <f t="shared" si="9"/>
        <v>0</v>
      </c>
      <c r="Q24" s="24">
        <f t="shared" si="10"/>
        <v>0</v>
      </c>
      <c r="R24" s="24">
        <f t="shared" si="11"/>
        <v>0</v>
      </c>
      <c r="S24" s="24">
        <f t="shared" si="12"/>
        <v>0</v>
      </c>
      <c r="T24" s="25"/>
      <c r="U24" s="26">
        <f t="shared" si="13"/>
        <v>0</v>
      </c>
      <c r="V24" s="17"/>
    </row>
    <row r="25" spans="1:22" x14ac:dyDescent="0.2">
      <c r="A25" s="17" t="s">
        <v>55</v>
      </c>
      <c r="B25" s="18"/>
      <c r="C25" s="18"/>
      <c r="D25" s="17"/>
      <c r="E25" s="17"/>
      <c r="F25" s="18"/>
      <c r="G25" s="19">
        <f t="shared" si="0"/>
        <v>0</v>
      </c>
      <c r="H25" s="20">
        <f t="shared" si="1"/>
        <v>0</v>
      </c>
      <c r="I25" s="19">
        <f t="shared" si="2"/>
        <v>0</v>
      </c>
      <c r="J25" s="19">
        <f t="shared" si="3"/>
        <v>0</v>
      </c>
      <c r="K25" s="20">
        <f t="shared" si="4"/>
        <v>0</v>
      </c>
      <c r="L25" s="21">
        <f t="shared" si="5"/>
        <v>0</v>
      </c>
      <c r="M25" s="21">
        <f t="shared" si="6"/>
        <v>0</v>
      </c>
      <c r="N25" s="21">
        <f t="shared" si="7"/>
        <v>0</v>
      </c>
      <c r="O25" s="22">
        <f t="shared" si="8"/>
        <v>0</v>
      </c>
      <c r="P25" s="23">
        <f t="shared" si="9"/>
        <v>0</v>
      </c>
      <c r="Q25" s="24">
        <f t="shared" si="10"/>
        <v>0</v>
      </c>
      <c r="R25" s="24">
        <f t="shared" si="11"/>
        <v>0</v>
      </c>
      <c r="S25" s="24">
        <f t="shared" si="12"/>
        <v>0</v>
      </c>
      <c r="T25" s="25"/>
      <c r="U25" s="26">
        <f t="shared" si="13"/>
        <v>0</v>
      </c>
      <c r="V25" s="17"/>
    </row>
    <row r="26" spans="1:22" x14ac:dyDescent="0.2">
      <c r="A26" s="17" t="s">
        <v>56</v>
      </c>
      <c r="B26" s="18"/>
      <c r="C26" s="18"/>
      <c r="D26" s="17"/>
      <c r="E26" s="17"/>
      <c r="F26" s="18"/>
      <c r="G26" s="19">
        <f t="shared" si="0"/>
        <v>0</v>
      </c>
      <c r="H26" s="20">
        <f t="shared" si="1"/>
        <v>0</v>
      </c>
      <c r="I26" s="19">
        <f t="shared" si="2"/>
        <v>0</v>
      </c>
      <c r="J26" s="19">
        <f t="shared" si="3"/>
        <v>0</v>
      </c>
      <c r="K26" s="20">
        <f t="shared" si="4"/>
        <v>0</v>
      </c>
      <c r="L26" s="21">
        <f t="shared" si="5"/>
        <v>0</v>
      </c>
      <c r="M26" s="21">
        <f t="shared" si="6"/>
        <v>0</v>
      </c>
      <c r="N26" s="21">
        <f t="shared" si="7"/>
        <v>0</v>
      </c>
      <c r="O26" s="22">
        <f t="shared" si="8"/>
        <v>0</v>
      </c>
      <c r="P26" s="23">
        <f t="shared" si="9"/>
        <v>0</v>
      </c>
      <c r="Q26" s="24">
        <f t="shared" si="10"/>
        <v>0</v>
      </c>
      <c r="R26" s="24">
        <f t="shared" si="11"/>
        <v>0</v>
      </c>
      <c r="S26" s="24">
        <f t="shared" si="12"/>
        <v>0</v>
      </c>
      <c r="T26" s="25"/>
      <c r="U26" s="26">
        <f t="shared" si="13"/>
        <v>0</v>
      </c>
      <c r="V26" s="17"/>
    </row>
    <row r="27" spans="1:22" x14ac:dyDescent="0.2">
      <c r="A27" s="17" t="s">
        <v>57</v>
      </c>
      <c r="B27" s="18"/>
      <c r="C27" s="18"/>
      <c r="D27" s="17"/>
      <c r="E27" s="17"/>
      <c r="F27" s="18"/>
      <c r="G27" s="19">
        <f t="shared" si="0"/>
        <v>0</v>
      </c>
      <c r="H27" s="20">
        <f t="shared" si="1"/>
        <v>0</v>
      </c>
      <c r="I27" s="19">
        <f t="shared" si="2"/>
        <v>0</v>
      </c>
      <c r="J27" s="19">
        <f t="shared" si="3"/>
        <v>0</v>
      </c>
      <c r="K27" s="20">
        <f t="shared" si="4"/>
        <v>0</v>
      </c>
      <c r="L27" s="21">
        <f t="shared" si="5"/>
        <v>0</v>
      </c>
      <c r="M27" s="21">
        <f t="shared" si="6"/>
        <v>0</v>
      </c>
      <c r="N27" s="21">
        <f t="shared" si="7"/>
        <v>0</v>
      </c>
      <c r="O27" s="22">
        <f t="shared" si="8"/>
        <v>0</v>
      </c>
      <c r="P27" s="23">
        <f t="shared" si="9"/>
        <v>0</v>
      </c>
      <c r="Q27" s="24">
        <f t="shared" si="10"/>
        <v>0</v>
      </c>
      <c r="R27" s="24">
        <f t="shared" si="11"/>
        <v>0</v>
      </c>
      <c r="S27" s="24">
        <f t="shared" si="12"/>
        <v>0</v>
      </c>
      <c r="T27" s="25"/>
      <c r="U27" s="26">
        <f t="shared" si="13"/>
        <v>0</v>
      </c>
      <c r="V27" s="17"/>
    </row>
    <row r="28" spans="1:22" x14ac:dyDescent="0.2">
      <c r="A28" s="17" t="s">
        <v>58</v>
      </c>
      <c r="B28" s="18"/>
      <c r="C28" s="18"/>
      <c r="D28" s="17"/>
      <c r="E28" s="17"/>
      <c r="F28" s="18"/>
      <c r="G28" s="19">
        <f t="shared" si="0"/>
        <v>0</v>
      </c>
      <c r="H28" s="20">
        <f t="shared" si="1"/>
        <v>0</v>
      </c>
      <c r="I28" s="19">
        <f t="shared" si="2"/>
        <v>0</v>
      </c>
      <c r="J28" s="19">
        <f t="shared" si="3"/>
        <v>0</v>
      </c>
      <c r="K28" s="20">
        <f t="shared" si="4"/>
        <v>0</v>
      </c>
      <c r="L28" s="21">
        <f t="shared" si="5"/>
        <v>0</v>
      </c>
      <c r="M28" s="21">
        <f t="shared" si="6"/>
        <v>0</v>
      </c>
      <c r="N28" s="21">
        <f t="shared" si="7"/>
        <v>0</v>
      </c>
      <c r="O28" s="22">
        <f t="shared" si="8"/>
        <v>0</v>
      </c>
      <c r="P28" s="23">
        <f t="shared" si="9"/>
        <v>0</v>
      </c>
      <c r="Q28" s="24">
        <f t="shared" si="10"/>
        <v>0</v>
      </c>
      <c r="R28" s="24">
        <f t="shared" si="11"/>
        <v>0</v>
      </c>
      <c r="S28" s="24">
        <f t="shared" si="12"/>
        <v>0</v>
      </c>
      <c r="T28" s="25"/>
      <c r="U28" s="26">
        <f t="shared" si="13"/>
        <v>0</v>
      </c>
      <c r="V28" s="17"/>
    </row>
    <row r="29" spans="1:22" x14ac:dyDescent="0.2">
      <c r="A29" s="17" t="s">
        <v>59</v>
      </c>
      <c r="B29" s="18"/>
      <c r="C29" s="18"/>
      <c r="D29" s="17"/>
      <c r="E29" s="17"/>
      <c r="F29" s="18"/>
      <c r="G29" s="19">
        <f t="shared" si="0"/>
        <v>0</v>
      </c>
      <c r="H29" s="20">
        <f t="shared" si="1"/>
        <v>0</v>
      </c>
      <c r="I29" s="19">
        <f t="shared" si="2"/>
        <v>0</v>
      </c>
      <c r="J29" s="19">
        <f t="shared" si="3"/>
        <v>0</v>
      </c>
      <c r="K29" s="20">
        <f t="shared" si="4"/>
        <v>0</v>
      </c>
      <c r="L29" s="21">
        <f t="shared" si="5"/>
        <v>0</v>
      </c>
      <c r="M29" s="21">
        <f t="shared" si="6"/>
        <v>0</v>
      </c>
      <c r="N29" s="21">
        <f t="shared" si="7"/>
        <v>0</v>
      </c>
      <c r="O29" s="22">
        <f t="shared" si="8"/>
        <v>0</v>
      </c>
      <c r="P29" s="23">
        <f t="shared" si="9"/>
        <v>0</v>
      </c>
      <c r="Q29" s="24">
        <f t="shared" si="10"/>
        <v>0</v>
      </c>
      <c r="R29" s="24">
        <f t="shared" si="11"/>
        <v>0</v>
      </c>
      <c r="S29" s="24">
        <f t="shared" si="12"/>
        <v>0</v>
      </c>
      <c r="T29" s="25"/>
      <c r="U29" s="26">
        <f t="shared" si="13"/>
        <v>0</v>
      </c>
      <c r="V29" s="17"/>
    </row>
    <row r="30" spans="1:22" x14ac:dyDescent="0.2">
      <c r="A30" s="17" t="s">
        <v>60</v>
      </c>
      <c r="B30" s="18"/>
      <c r="C30" s="18"/>
      <c r="D30" s="17"/>
      <c r="E30" s="17"/>
      <c r="F30" s="18"/>
      <c r="G30" s="19">
        <f t="shared" si="0"/>
        <v>0</v>
      </c>
      <c r="H30" s="20">
        <f t="shared" si="1"/>
        <v>0</v>
      </c>
      <c r="I30" s="19">
        <f t="shared" si="2"/>
        <v>0</v>
      </c>
      <c r="J30" s="19">
        <f t="shared" si="3"/>
        <v>0</v>
      </c>
      <c r="K30" s="20">
        <f t="shared" si="4"/>
        <v>0</v>
      </c>
      <c r="L30" s="21">
        <f t="shared" si="5"/>
        <v>0</v>
      </c>
      <c r="M30" s="21">
        <f t="shared" si="6"/>
        <v>0</v>
      </c>
      <c r="N30" s="21">
        <f t="shared" si="7"/>
        <v>0</v>
      </c>
      <c r="O30" s="22">
        <f t="shared" si="8"/>
        <v>0</v>
      </c>
      <c r="P30" s="23">
        <f t="shared" si="9"/>
        <v>0</v>
      </c>
      <c r="Q30" s="24">
        <f t="shared" si="10"/>
        <v>0</v>
      </c>
      <c r="R30" s="24">
        <f t="shared" si="11"/>
        <v>0</v>
      </c>
      <c r="S30" s="24">
        <f t="shared" si="12"/>
        <v>0</v>
      </c>
      <c r="T30" s="25"/>
      <c r="U30" s="26">
        <f t="shared" si="13"/>
        <v>0</v>
      </c>
      <c r="V30" s="17"/>
    </row>
    <row r="31" spans="1:22" x14ac:dyDescent="0.2">
      <c r="A31" s="17" t="s">
        <v>61</v>
      </c>
      <c r="B31" s="18"/>
      <c r="C31" s="18"/>
      <c r="D31" s="17"/>
      <c r="E31" s="17"/>
      <c r="F31" s="18"/>
      <c r="G31" s="19">
        <f t="shared" si="0"/>
        <v>0</v>
      </c>
      <c r="H31" s="20">
        <f t="shared" si="1"/>
        <v>0</v>
      </c>
      <c r="I31" s="19">
        <f t="shared" si="2"/>
        <v>0</v>
      </c>
      <c r="J31" s="19">
        <f t="shared" si="3"/>
        <v>0</v>
      </c>
      <c r="K31" s="20">
        <f t="shared" si="4"/>
        <v>0</v>
      </c>
      <c r="L31" s="21">
        <f t="shared" si="5"/>
        <v>0</v>
      </c>
      <c r="M31" s="21">
        <f t="shared" si="6"/>
        <v>0</v>
      </c>
      <c r="N31" s="21">
        <f t="shared" si="7"/>
        <v>0</v>
      </c>
      <c r="O31" s="22">
        <f t="shared" si="8"/>
        <v>0</v>
      </c>
      <c r="P31" s="23">
        <f t="shared" si="9"/>
        <v>0</v>
      </c>
      <c r="Q31" s="24">
        <f t="shared" si="10"/>
        <v>0</v>
      </c>
      <c r="R31" s="24">
        <f t="shared" si="11"/>
        <v>0</v>
      </c>
      <c r="S31" s="24">
        <f t="shared" si="12"/>
        <v>0</v>
      </c>
      <c r="T31" s="25"/>
      <c r="U31" s="26">
        <f t="shared" si="13"/>
        <v>0</v>
      </c>
      <c r="V31" s="17"/>
    </row>
    <row r="32" spans="1:22" x14ac:dyDescent="0.2">
      <c r="A32" s="17" t="s">
        <v>62</v>
      </c>
      <c r="B32" s="18"/>
      <c r="C32" s="18"/>
      <c r="D32" s="17"/>
      <c r="E32" s="17"/>
      <c r="F32" s="18"/>
      <c r="G32" s="19">
        <f t="shared" si="0"/>
        <v>0</v>
      </c>
      <c r="H32" s="20">
        <f t="shared" si="1"/>
        <v>0</v>
      </c>
      <c r="I32" s="19">
        <f t="shared" si="2"/>
        <v>0</v>
      </c>
      <c r="J32" s="19">
        <f t="shared" si="3"/>
        <v>0</v>
      </c>
      <c r="K32" s="20">
        <f t="shared" si="4"/>
        <v>0</v>
      </c>
      <c r="L32" s="21">
        <f t="shared" si="5"/>
        <v>0</v>
      </c>
      <c r="M32" s="21">
        <f t="shared" si="6"/>
        <v>0</v>
      </c>
      <c r="N32" s="21">
        <f t="shared" si="7"/>
        <v>0</v>
      </c>
      <c r="O32" s="22">
        <f t="shared" si="8"/>
        <v>0</v>
      </c>
      <c r="P32" s="23">
        <f t="shared" si="9"/>
        <v>0</v>
      </c>
      <c r="Q32" s="24">
        <f t="shared" si="10"/>
        <v>0</v>
      </c>
      <c r="R32" s="24">
        <f t="shared" si="11"/>
        <v>0</v>
      </c>
      <c r="S32" s="24">
        <f t="shared" si="12"/>
        <v>0</v>
      </c>
      <c r="T32" s="25"/>
      <c r="U32" s="26">
        <f t="shared" si="13"/>
        <v>0</v>
      </c>
      <c r="V32" s="17"/>
    </row>
    <row r="33" spans="1:22" x14ac:dyDescent="0.2">
      <c r="A33" s="17" t="s">
        <v>63</v>
      </c>
      <c r="B33" s="18"/>
      <c r="C33" s="18"/>
      <c r="D33" s="17"/>
      <c r="E33" s="17"/>
      <c r="F33" s="18"/>
      <c r="G33" s="19">
        <f t="shared" si="0"/>
        <v>0</v>
      </c>
      <c r="H33" s="20">
        <f t="shared" si="1"/>
        <v>0</v>
      </c>
      <c r="I33" s="19">
        <f t="shared" si="2"/>
        <v>0</v>
      </c>
      <c r="J33" s="19">
        <f t="shared" si="3"/>
        <v>0</v>
      </c>
      <c r="K33" s="20">
        <f t="shared" si="4"/>
        <v>0</v>
      </c>
      <c r="L33" s="21">
        <f t="shared" si="5"/>
        <v>0</v>
      </c>
      <c r="M33" s="21">
        <f t="shared" si="6"/>
        <v>0</v>
      </c>
      <c r="N33" s="21">
        <f t="shared" si="7"/>
        <v>0</v>
      </c>
      <c r="O33" s="22">
        <f t="shared" si="8"/>
        <v>0</v>
      </c>
      <c r="P33" s="23">
        <f t="shared" si="9"/>
        <v>0</v>
      </c>
      <c r="Q33" s="24">
        <f t="shared" si="10"/>
        <v>0</v>
      </c>
      <c r="R33" s="24">
        <f t="shared" si="11"/>
        <v>0</v>
      </c>
      <c r="S33" s="24">
        <f t="shared" si="12"/>
        <v>0</v>
      </c>
      <c r="T33" s="25"/>
      <c r="U33" s="26">
        <f t="shared" si="13"/>
        <v>0</v>
      </c>
      <c r="V33" s="17"/>
    </row>
    <row r="34" spans="1:22" x14ac:dyDescent="0.2">
      <c r="A34" s="17" t="s">
        <v>64</v>
      </c>
      <c r="B34" s="18"/>
      <c r="C34" s="18"/>
      <c r="D34" s="17"/>
      <c r="E34" s="17"/>
      <c r="F34" s="18"/>
      <c r="G34" s="19">
        <f t="shared" si="0"/>
        <v>0</v>
      </c>
      <c r="H34" s="20">
        <f t="shared" si="1"/>
        <v>0</v>
      </c>
      <c r="I34" s="19">
        <f t="shared" si="2"/>
        <v>0</v>
      </c>
      <c r="J34" s="19">
        <f t="shared" si="3"/>
        <v>0</v>
      </c>
      <c r="K34" s="20">
        <f t="shared" si="4"/>
        <v>0</v>
      </c>
      <c r="L34" s="21">
        <f t="shared" si="5"/>
        <v>0</v>
      </c>
      <c r="M34" s="21">
        <f t="shared" si="6"/>
        <v>0</v>
      </c>
      <c r="N34" s="21">
        <f t="shared" si="7"/>
        <v>0</v>
      </c>
      <c r="O34" s="22">
        <f t="shared" si="8"/>
        <v>0</v>
      </c>
      <c r="P34" s="23">
        <f t="shared" si="9"/>
        <v>0</v>
      </c>
      <c r="Q34" s="24">
        <f t="shared" si="10"/>
        <v>0</v>
      </c>
      <c r="R34" s="24">
        <f t="shared" si="11"/>
        <v>0</v>
      </c>
      <c r="S34" s="24">
        <f t="shared" si="12"/>
        <v>0</v>
      </c>
      <c r="T34" s="25"/>
      <c r="U34" s="26">
        <f t="shared" si="13"/>
        <v>0</v>
      </c>
      <c r="V34" s="17"/>
    </row>
    <row r="35" spans="1:22" x14ac:dyDescent="0.2">
      <c r="A35" s="17" t="s">
        <v>65</v>
      </c>
      <c r="B35" s="18"/>
      <c r="C35" s="18"/>
      <c r="D35" s="17"/>
      <c r="E35" s="17"/>
      <c r="F35" s="18"/>
      <c r="G35" s="19">
        <f t="shared" si="0"/>
        <v>0</v>
      </c>
      <c r="H35" s="20">
        <f t="shared" si="1"/>
        <v>0</v>
      </c>
      <c r="I35" s="19">
        <f t="shared" si="2"/>
        <v>0</v>
      </c>
      <c r="J35" s="19">
        <f t="shared" si="3"/>
        <v>0</v>
      </c>
      <c r="K35" s="20">
        <f t="shared" si="4"/>
        <v>0</v>
      </c>
      <c r="L35" s="21">
        <f t="shared" si="5"/>
        <v>0</v>
      </c>
      <c r="M35" s="21">
        <f t="shared" si="6"/>
        <v>0</v>
      </c>
      <c r="N35" s="21">
        <f t="shared" si="7"/>
        <v>0</v>
      </c>
      <c r="O35" s="22">
        <f t="shared" si="8"/>
        <v>0</v>
      </c>
      <c r="P35" s="23">
        <f t="shared" si="9"/>
        <v>0</v>
      </c>
      <c r="Q35" s="24">
        <f t="shared" si="10"/>
        <v>0</v>
      </c>
      <c r="R35" s="24">
        <f t="shared" si="11"/>
        <v>0</v>
      </c>
      <c r="S35" s="24">
        <f t="shared" si="12"/>
        <v>0</v>
      </c>
      <c r="T35" s="25"/>
      <c r="U35" s="26">
        <f t="shared" si="13"/>
        <v>0</v>
      </c>
      <c r="V35" s="17"/>
    </row>
    <row r="36" spans="1:22" x14ac:dyDescent="0.2">
      <c r="A36" s="17" t="s">
        <v>66</v>
      </c>
      <c r="B36" s="18"/>
      <c r="C36" s="18"/>
      <c r="D36" s="17"/>
      <c r="E36" s="17"/>
      <c r="F36" s="18"/>
      <c r="G36" s="19">
        <f t="shared" si="0"/>
        <v>0</v>
      </c>
      <c r="H36" s="20">
        <f t="shared" si="1"/>
        <v>0</v>
      </c>
      <c r="I36" s="19">
        <f t="shared" si="2"/>
        <v>0</v>
      </c>
      <c r="J36" s="19">
        <f t="shared" si="3"/>
        <v>0</v>
      </c>
      <c r="K36" s="20">
        <f t="shared" si="4"/>
        <v>0</v>
      </c>
      <c r="L36" s="21">
        <f t="shared" si="5"/>
        <v>0</v>
      </c>
      <c r="M36" s="21">
        <f t="shared" si="6"/>
        <v>0</v>
      </c>
      <c r="N36" s="21">
        <f t="shared" si="7"/>
        <v>0</v>
      </c>
      <c r="O36" s="22">
        <f t="shared" si="8"/>
        <v>0</v>
      </c>
      <c r="P36" s="23">
        <f t="shared" si="9"/>
        <v>0</v>
      </c>
      <c r="Q36" s="24">
        <f t="shared" si="10"/>
        <v>0</v>
      </c>
      <c r="R36" s="24">
        <f t="shared" si="11"/>
        <v>0</v>
      </c>
      <c r="S36" s="24">
        <f t="shared" si="12"/>
        <v>0</v>
      </c>
      <c r="T36" s="25"/>
      <c r="U36" s="26">
        <f t="shared" si="13"/>
        <v>0</v>
      </c>
      <c r="V36" s="17"/>
    </row>
    <row r="37" spans="1:22" x14ac:dyDescent="0.2">
      <c r="A37" s="52" t="s">
        <v>67</v>
      </c>
      <c r="B37" s="52"/>
      <c r="C37" s="52"/>
      <c r="D37" s="52"/>
      <c r="E37" s="52"/>
      <c r="F37" s="52"/>
      <c r="G37" s="28">
        <f t="shared" ref="G37:U37" si="14">SUM(G6:G36)</f>
        <v>8.0000000000000018</v>
      </c>
      <c r="H37" s="29">
        <f t="shared" si="14"/>
        <v>0</v>
      </c>
      <c r="I37" s="28">
        <f t="shared" si="14"/>
        <v>0</v>
      </c>
      <c r="J37" s="28">
        <f t="shared" si="14"/>
        <v>0</v>
      </c>
      <c r="K37" s="29">
        <f t="shared" si="14"/>
        <v>0</v>
      </c>
      <c r="L37" s="30">
        <f t="shared" si="14"/>
        <v>0</v>
      </c>
      <c r="M37" s="30">
        <f t="shared" si="14"/>
        <v>0</v>
      </c>
      <c r="N37" s="30">
        <f t="shared" si="14"/>
        <v>0</v>
      </c>
      <c r="O37" s="30">
        <f t="shared" si="14"/>
        <v>0</v>
      </c>
      <c r="P37" s="30">
        <f t="shared" si="14"/>
        <v>0</v>
      </c>
      <c r="Q37" s="30">
        <f t="shared" si="14"/>
        <v>0</v>
      </c>
      <c r="R37" s="30">
        <f t="shared" si="14"/>
        <v>0</v>
      </c>
      <c r="S37" s="30">
        <f t="shared" si="14"/>
        <v>0</v>
      </c>
      <c r="T37" s="30">
        <f t="shared" si="14"/>
        <v>0</v>
      </c>
      <c r="U37" s="30">
        <f t="shared" si="14"/>
        <v>500</v>
      </c>
      <c r="V37" s="27"/>
    </row>
    <row r="38" spans="1:22" ht="21.95" customHeight="1" x14ac:dyDescent="0.25">
      <c r="A38" s="53" t="s">
        <v>68</v>
      </c>
      <c r="B38" s="53"/>
      <c r="C38" s="53"/>
      <c r="D38" s="53"/>
      <c r="E38" s="31" t="s">
        <v>69</v>
      </c>
      <c r="F38" s="32">
        <v>50000</v>
      </c>
      <c r="G38" s="31" t="s">
        <v>70</v>
      </c>
      <c r="H38" s="54"/>
      <c r="I38" s="54"/>
      <c r="J38" s="54"/>
      <c r="K38" s="54"/>
      <c r="L38" s="54"/>
    </row>
    <row r="40" spans="1:22" ht="15" x14ac:dyDescent="0.25">
      <c r="A40" s="2" t="s">
        <v>71</v>
      </c>
      <c r="B40" s="33">
        <f>$H$2</f>
        <v>15000</v>
      </c>
      <c r="T40" s="43">
        <v>0</v>
      </c>
      <c r="V40" s="42" t="s">
        <v>77</v>
      </c>
    </row>
    <row r="41" spans="1:22" x14ac:dyDescent="0.2">
      <c r="A41" s="34" t="s">
        <v>72</v>
      </c>
      <c r="B41" s="35">
        <f>O37</f>
        <v>0</v>
      </c>
      <c r="T41" s="43">
        <v>0</v>
      </c>
      <c r="V41" s="42" t="s">
        <v>78</v>
      </c>
    </row>
    <row r="42" spans="1:22" x14ac:dyDescent="0.2">
      <c r="A42" s="36" t="s">
        <v>73</v>
      </c>
      <c r="B42" s="37">
        <f>L37+M37+N37</f>
        <v>0</v>
      </c>
      <c r="T42" s="43">
        <v>0</v>
      </c>
      <c r="V42" s="42" t="s">
        <v>79</v>
      </c>
    </row>
    <row r="43" spans="1:22" x14ac:dyDescent="0.2">
      <c r="A43" s="36" t="s">
        <v>74</v>
      </c>
      <c r="B43" s="38">
        <v>0</v>
      </c>
    </row>
    <row r="44" spans="1:22" x14ac:dyDescent="0.2">
      <c r="A44" s="39" t="s">
        <v>75</v>
      </c>
      <c r="B44" s="40">
        <f>F38</f>
        <v>50000</v>
      </c>
    </row>
    <row r="45" spans="1:22" ht="18.75" x14ac:dyDescent="0.3">
      <c r="A45" s="41" t="s">
        <v>76</v>
      </c>
      <c r="B45" s="55">
        <f>B40+B41-B42-B43+B44</f>
        <v>65000</v>
      </c>
      <c r="C45" s="55"/>
    </row>
  </sheetData>
  <mergeCells count="8">
    <mergeCell ref="A38:D38"/>
    <mergeCell ref="H38:L38"/>
    <mergeCell ref="B45:C45"/>
    <mergeCell ref="A1:F1"/>
    <mergeCell ref="G1:L1"/>
    <mergeCell ref="B2:F2"/>
    <mergeCell ref="Q4:S4"/>
    <mergeCell ref="A37:F3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5"/>
  <sheetViews>
    <sheetView workbookViewId="0">
      <selection sqref="A1:A65"/>
    </sheetView>
  </sheetViews>
  <sheetFormatPr defaultRowHeight="12.75" x14ac:dyDescent="0.2"/>
  <cols>
    <col min="1" max="1" width="90" customWidth="1"/>
  </cols>
  <sheetData>
    <row r="1" spans="1:1" ht="18.75" x14ac:dyDescent="0.3">
      <c r="A1" s="44" t="s">
        <v>80</v>
      </c>
    </row>
    <row r="2" spans="1:1" x14ac:dyDescent="0.2">
      <c r="A2" s="45"/>
    </row>
    <row r="3" spans="1:1" ht="15" x14ac:dyDescent="0.25">
      <c r="A3" s="46" t="s">
        <v>81</v>
      </c>
    </row>
    <row r="4" spans="1:1" x14ac:dyDescent="0.2">
      <c r="A4" s="45" t="s">
        <v>82</v>
      </c>
    </row>
    <row r="5" spans="1:1" x14ac:dyDescent="0.2">
      <c r="A5" s="45" t="s">
        <v>83</v>
      </c>
    </row>
    <row r="6" spans="1:1" x14ac:dyDescent="0.2">
      <c r="A6" s="45" t="s">
        <v>84</v>
      </c>
    </row>
    <row r="7" spans="1:1" x14ac:dyDescent="0.2">
      <c r="A7" s="45" t="s">
        <v>85</v>
      </c>
    </row>
    <row r="8" spans="1:1" x14ac:dyDescent="0.2">
      <c r="A8" s="45" t="s">
        <v>86</v>
      </c>
    </row>
    <row r="9" spans="1:1" x14ac:dyDescent="0.2">
      <c r="A9" s="45" t="s">
        <v>87</v>
      </c>
    </row>
    <row r="10" spans="1:1" x14ac:dyDescent="0.2">
      <c r="A10" s="45" t="s">
        <v>88</v>
      </c>
    </row>
    <row r="11" spans="1:1" x14ac:dyDescent="0.2">
      <c r="A11" s="45" t="s">
        <v>89</v>
      </c>
    </row>
    <row r="12" spans="1:1" x14ac:dyDescent="0.2">
      <c r="A12" s="45" t="s">
        <v>90</v>
      </c>
    </row>
    <row r="13" spans="1:1" x14ac:dyDescent="0.2">
      <c r="A13" s="45" t="s">
        <v>91</v>
      </c>
    </row>
    <row r="14" spans="1:1" x14ac:dyDescent="0.2">
      <c r="A14" s="45" t="s">
        <v>92</v>
      </c>
    </row>
    <row r="15" spans="1:1" x14ac:dyDescent="0.2">
      <c r="A15" s="45" t="s">
        <v>93</v>
      </c>
    </row>
    <row r="16" spans="1:1" x14ac:dyDescent="0.2">
      <c r="A16" s="45" t="s">
        <v>94</v>
      </c>
    </row>
    <row r="17" spans="1:1" x14ac:dyDescent="0.2">
      <c r="A17" s="45" t="s">
        <v>95</v>
      </c>
    </row>
    <row r="18" spans="1:1" ht="15" x14ac:dyDescent="0.25">
      <c r="A18" s="46"/>
    </row>
    <row r="19" spans="1:1" x14ac:dyDescent="0.2">
      <c r="A19" s="45" t="s">
        <v>96</v>
      </c>
    </row>
    <row r="20" spans="1:1" x14ac:dyDescent="0.2">
      <c r="A20" s="45" t="s">
        <v>97</v>
      </c>
    </row>
    <row r="21" spans="1:1" x14ac:dyDescent="0.2">
      <c r="A21" s="45" t="s">
        <v>98</v>
      </c>
    </row>
    <row r="22" spans="1:1" x14ac:dyDescent="0.2">
      <c r="A22" s="45" t="s">
        <v>99</v>
      </c>
    </row>
    <row r="23" spans="1:1" x14ac:dyDescent="0.2">
      <c r="A23" s="45" t="s">
        <v>100</v>
      </c>
    </row>
    <row r="24" spans="1:1" x14ac:dyDescent="0.2">
      <c r="A24" s="45" t="s">
        <v>101</v>
      </c>
    </row>
    <row r="25" spans="1:1" x14ac:dyDescent="0.2">
      <c r="A25" s="45" t="s">
        <v>102</v>
      </c>
    </row>
    <row r="26" spans="1:1" x14ac:dyDescent="0.2">
      <c r="A26" s="45" t="s">
        <v>103</v>
      </c>
    </row>
    <row r="27" spans="1:1" x14ac:dyDescent="0.2">
      <c r="A27" s="45" t="s">
        <v>104</v>
      </c>
    </row>
    <row r="28" spans="1:1" x14ac:dyDescent="0.2">
      <c r="A28" s="45" t="s">
        <v>105</v>
      </c>
    </row>
    <row r="29" spans="1:1" x14ac:dyDescent="0.2">
      <c r="A29" s="45" t="s">
        <v>106</v>
      </c>
    </row>
    <row r="30" spans="1:1" x14ac:dyDescent="0.2">
      <c r="A30" s="45" t="s">
        <v>107</v>
      </c>
    </row>
    <row r="31" spans="1:1" x14ac:dyDescent="0.2">
      <c r="A31" s="45" t="s">
        <v>108</v>
      </c>
    </row>
    <row r="32" spans="1:1" x14ac:dyDescent="0.2">
      <c r="A32" s="45" t="s">
        <v>109</v>
      </c>
    </row>
    <row r="33" spans="1:1" x14ac:dyDescent="0.2">
      <c r="A33" s="45" t="s">
        <v>110</v>
      </c>
    </row>
    <row r="34" spans="1:1" x14ac:dyDescent="0.2">
      <c r="A34" s="45" t="s">
        <v>111</v>
      </c>
    </row>
    <row r="35" spans="1:1" x14ac:dyDescent="0.2">
      <c r="A35" s="45" t="s">
        <v>112</v>
      </c>
    </row>
    <row r="36" spans="1:1" x14ac:dyDescent="0.2">
      <c r="A36" s="45" t="s">
        <v>113</v>
      </c>
    </row>
    <row r="37" spans="1:1" x14ac:dyDescent="0.2">
      <c r="A37" s="45" t="s">
        <v>114</v>
      </c>
    </row>
    <row r="38" spans="1:1" x14ac:dyDescent="0.2">
      <c r="A38" s="45" t="s">
        <v>115</v>
      </c>
    </row>
    <row r="39" spans="1:1" x14ac:dyDescent="0.2">
      <c r="A39" s="45" t="s">
        <v>116</v>
      </c>
    </row>
    <row r="40" spans="1:1" x14ac:dyDescent="0.2">
      <c r="A40" s="45" t="s">
        <v>117</v>
      </c>
    </row>
    <row r="41" spans="1:1" x14ac:dyDescent="0.2">
      <c r="A41" s="45" t="s">
        <v>118</v>
      </c>
    </row>
    <row r="42" spans="1:1" ht="15" x14ac:dyDescent="0.25">
      <c r="A42" s="46"/>
    </row>
    <row r="43" spans="1:1" x14ac:dyDescent="0.2">
      <c r="A43" s="45" t="s">
        <v>119</v>
      </c>
    </row>
    <row r="44" spans="1:1" x14ac:dyDescent="0.2">
      <c r="A44" s="45" t="s">
        <v>120</v>
      </c>
    </row>
    <row r="45" spans="1:1" x14ac:dyDescent="0.2">
      <c r="A45" s="45" t="s">
        <v>121</v>
      </c>
    </row>
    <row r="46" spans="1:1" ht="15" x14ac:dyDescent="0.25">
      <c r="A46" s="46" t="s">
        <v>122</v>
      </c>
    </row>
    <row r="47" spans="1:1" x14ac:dyDescent="0.2">
      <c r="A47" s="45"/>
    </row>
    <row r="48" spans="1:1" x14ac:dyDescent="0.2">
      <c r="A48" s="45" t="s">
        <v>123</v>
      </c>
    </row>
    <row r="49" spans="1:1" x14ac:dyDescent="0.2">
      <c r="A49" s="45" t="s">
        <v>124</v>
      </c>
    </row>
    <row r="50" spans="1:1" ht="15" x14ac:dyDescent="0.25">
      <c r="A50" s="46" t="s">
        <v>125</v>
      </c>
    </row>
    <row r="51" spans="1:1" x14ac:dyDescent="0.2">
      <c r="A51" s="45"/>
    </row>
    <row r="52" spans="1:1" x14ac:dyDescent="0.2">
      <c r="A52" s="45" t="s">
        <v>126</v>
      </c>
    </row>
    <row r="53" spans="1:1" x14ac:dyDescent="0.2">
      <c r="A53" s="45" t="s">
        <v>127</v>
      </c>
    </row>
    <row r="54" spans="1:1" x14ac:dyDescent="0.2">
      <c r="A54" s="45" t="s">
        <v>128</v>
      </c>
    </row>
    <row r="55" spans="1:1" x14ac:dyDescent="0.2">
      <c r="A55" s="45" t="s">
        <v>129</v>
      </c>
    </row>
    <row r="56" spans="1:1" ht="15" x14ac:dyDescent="0.25">
      <c r="A56" s="46" t="s">
        <v>130</v>
      </c>
    </row>
    <row r="57" spans="1:1" x14ac:dyDescent="0.2">
      <c r="A57" s="45" t="s">
        <v>131</v>
      </c>
    </row>
    <row r="58" spans="1:1" x14ac:dyDescent="0.2">
      <c r="A58" s="45" t="s">
        <v>132</v>
      </c>
    </row>
    <row r="59" spans="1:1" x14ac:dyDescent="0.2">
      <c r="A59" s="45"/>
    </row>
    <row r="60" spans="1:1" x14ac:dyDescent="0.2">
      <c r="A60" s="45" t="s">
        <v>133</v>
      </c>
    </row>
    <row r="61" spans="1:1" x14ac:dyDescent="0.2">
      <c r="A61" s="45" t="s">
        <v>134</v>
      </c>
    </row>
    <row r="62" spans="1:1" x14ac:dyDescent="0.2">
      <c r="A62" s="45" t="s">
        <v>135</v>
      </c>
    </row>
    <row r="63" spans="1:1" x14ac:dyDescent="0.2">
      <c r="A63" s="45" t="s">
        <v>136</v>
      </c>
    </row>
    <row r="64" spans="1:1" x14ac:dyDescent="0.2">
      <c r="A64" s="45" t="s">
        <v>137</v>
      </c>
    </row>
    <row r="65" spans="1:1" x14ac:dyDescent="0.2">
      <c r="A65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DTR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Kim Yamamoto</cp:lastModifiedBy>
  <dcterms:created xsi:type="dcterms:W3CDTF">2026-03-06T12:15:21Z</dcterms:created>
  <dcterms:modified xsi:type="dcterms:W3CDTF">2026-03-06T12:16:41Z</dcterms:modified>
  <cp:category/>
</cp:coreProperties>
</file>